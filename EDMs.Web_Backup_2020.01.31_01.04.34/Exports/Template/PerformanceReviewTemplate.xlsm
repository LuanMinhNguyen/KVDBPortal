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00. Workspace\WMS PTSC PPS\Source\Web\EDMs.Web\Exports\Template\"/>
    </mc:Choice>
  </mc:AlternateContent>
  <bookViews>
    <workbookView xWindow="0" yWindow="0" windowWidth="28800" windowHeight="11535"/>
  </bookViews>
  <sheets>
    <sheet name="FM01" sheetId="11" r:id="rId1"/>
  </sheets>
  <definedNames>
    <definedName name="_xlnm.Print_Area" localSheetId="0">'FM01'!$A$1:$Q$27</definedName>
  </definedNames>
  <calcPr calcId="152511"/>
</workbook>
</file>

<file path=xl/calcChain.xml><?xml version="1.0" encoding="utf-8"?>
<calcChain xmlns="http://schemas.openxmlformats.org/spreadsheetml/2006/main">
  <c r="P12" i="11" l="1"/>
  <c r="P11" i="11"/>
  <c r="O12" i="11"/>
  <c r="O11" i="11"/>
  <c r="L12" i="11"/>
  <c r="L11" i="11"/>
  <c r="I12" i="11"/>
  <c r="I11" i="11"/>
  <c r="N13" i="11" l="1"/>
  <c r="M13" i="11"/>
  <c r="K14" i="11" l="1"/>
  <c r="H14" i="11"/>
  <c r="O13" i="11"/>
  <c r="I10" i="11"/>
  <c r="L10" i="11"/>
  <c r="O10" i="11"/>
  <c r="P10" i="11"/>
  <c r="P9" i="11"/>
  <c r="O9" i="11"/>
  <c r="L9" i="11"/>
  <c r="I9" i="11"/>
  <c r="P8" i="11"/>
  <c r="O8" i="11"/>
  <c r="L8" i="11"/>
  <c r="I8" i="11"/>
  <c r="P7" i="11"/>
  <c r="O7" i="11"/>
  <c r="L7" i="11"/>
  <c r="I7" i="11"/>
  <c r="L14" i="11" l="1"/>
  <c r="I14" i="11"/>
  <c r="N14" i="11"/>
  <c r="O14" i="11" s="1"/>
  <c r="P13" i="11" l="1"/>
  <c r="P14" i="11" s="1"/>
  <c r="P15" i="11" s="1"/>
  <c r="P16" i="11" s="1"/>
</calcChain>
</file>

<file path=xl/sharedStrings.xml><?xml version="1.0" encoding="utf-8"?>
<sst xmlns="http://schemas.openxmlformats.org/spreadsheetml/2006/main" count="36" uniqueCount="29">
  <si>
    <t>Ghi chú</t>
  </si>
  <si>
    <t>Số công việc</t>
  </si>
  <si>
    <t>Hạng mục</t>
  </si>
  <si>
    <t>Chất lượng thực hiện công việc (40%)</t>
  </si>
  <si>
    <t>Thời hạn/Tiến độ hoàn thành công việc (30%)</t>
  </si>
  <si>
    <t>Khối lượng công việc (30%)</t>
  </si>
  <si>
    <t>Tổng hợp điểm (điểm x tỷ trọng)</t>
  </si>
  <si>
    <t>Loại đánh giá</t>
  </si>
  <si>
    <t>Ghi chú: Tổng hợp điểm đánh giá tháng = trung bình điểm đánh giá các hạng mục công việc.</t>
  </si>
  <si>
    <t>Điểm được phê duyệt</t>
  </si>
  <si>
    <t>Điểm NLĐ tự đánh giá</t>
  </si>
  <si>
    <t>III – Thành tích đặc biệt hoặc lỗi sai nghiêm trọng:</t>
  </si>
  <si>
    <r>
      <t xml:space="preserve">II - </t>
    </r>
    <r>
      <rPr>
        <b/>
        <sz val="11"/>
        <color rgb="FF000000"/>
        <rFont val="Times New Roman"/>
        <family val="1"/>
      </rPr>
      <t xml:space="preserve">Sáng kiến, cải tiến </t>
    </r>
    <r>
      <rPr>
        <i/>
        <sz val="11"/>
        <color rgb="FF000000"/>
        <rFont val="Times New Roman"/>
        <family val="1"/>
      </rPr>
      <t>(nếu có thì nêu cụ thể):</t>
    </r>
  </si>
  <si>
    <r>
      <t xml:space="preserve">Người được đánh giá
</t>
    </r>
    <r>
      <rPr>
        <i/>
        <sz val="11"/>
        <color indexed="8"/>
        <rFont val="Times New Roman"/>
        <family val="1"/>
      </rPr>
      <t xml:space="preserve">(Ký và ghi họ tên) </t>
    </r>
    <r>
      <rPr>
        <b/>
        <sz val="11"/>
        <color indexed="8"/>
        <rFont val="Times New Roman"/>
        <family val="1"/>
      </rPr>
      <t xml:space="preserve">
</t>
    </r>
  </si>
  <si>
    <r>
      <t xml:space="preserve">Người giao việc, đánh giá
</t>
    </r>
    <r>
      <rPr>
        <i/>
        <sz val="11"/>
        <color indexed="8"/>
        <rFont val="Times New Roman"/>
        <family val="1"/>
      </rPr>
      <t xml:space="preserve">(Ký và ghi họ tên) </t>
    </r>
    <r>
      <rPr>
        <b/>
        <sz val="11"/>
        <color indexed="8"/>
        <rFont val="Times New Roman"/>
        <family val="1"/>
      </rPr>
      <t xml:space="preserve">
</t>
    </r>
  </si>
  <si>
    <r>
      <t xml:space="preserve">Người phê duyệt
</t>
    </r>
    <r>
      <rPr>
        <sz val="11"/>
        <color indexed="8"/>
        <rFont val="Times New Roman"/>
        <family val="1"/>
      </rPr>
      <t xml:space="preserve">(Ký và ghi họ tên) </t>
    </r>
  </si>
  <si>
    <t>Tổng hợp điểm đánh giá tháng 09/2016:</t>
  </si>
  <si>
    <t>Điểm đánh giá tháng 09/2016 làm tròn:</t>
  </si>
  <si>
    <t>Loại đánh giá MĐHTCV tháng 09/2016:</t>
  </si>
  <si>
    <t xml:space="preserve">Họ &amp; tên Người được đánh giá: </t>
  </si>
  <si>
    <t xml:space="preserve">Chức danh công việc: </t>
  </si>
  <si>
    <t xml:space="preserve">PHIẾU GIAO VIỆC VÀ ĐÁNH GIÁ MỨC ĐỘ HOÀN THÀNH CÔNG VIỆC </t>
  </si>
  <si>
    <t>Tổng</t>
  </si>
  <si>
    <t>Hoàn Thành</t>
  </si>
  <si>
    <t>Quá Hạn</t>
  </si>
  <si>
    <t>Đang Thực Hiện</t>
  </si>
  <si>
    <t xml:space="preserve">Phòng: </t>
  </si>
  <si>
    <t xml:space="preserve">I - Công việc từ ngày  đến ngày </t>
  </si>
  <si>
    <t>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</si>
</sst>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_₫_-;\-* #,##0.00\ _₫_-;_-* &quot;-&quot;??\ _₫_-;_-@_-"/>
    <numFmt numFmtId="165" formatCode="#,##0;[Red]#,##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b/>
      <sz val="13"/>
      <color theme="1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i/>
      <sz val="11"/>
      <color theme="1"/>
      <name val="Times New Roman"/>
      <family val="1"/>
    </font>
    <font>
      <i/>
      <sz val="11"/>
      <name val="Times New Roman"/>
      <family val="1"/>
    </font>
    <font>
      <b/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sz val="11"/>
      <color indexed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164" fontId="3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1" applyFont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ont="1" applyFill="1" applyBorder="1" applyAlignment="1">
      <alignment vertical="center"/>
    </xf>
    <xf numFmtId="0" fontId="4" fillId="0" borderId="0" xfId="1" applyFont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1" applyFont="1" applyAlignment="1">
      <alignment vertical="center"/>
    </xf>
    <xf numFmtId="0" fontId="5" fillId="0" borderId="1" xfId="0" applyFont="1" applyFill="1" applyBorder="1" applyAlignment="1">
      <alignment horizontal="center" vertical="center" wrapText="1"/>
    </xf>
    <xf numFmtId="0" fontId="6" fillId="2" borderId="1" xfId="1" quotePrefix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5" fillId="0" borderId="0" xfId="1" applyFont="1" applyAlignment="1">
      <alignment vertical="center"/>
    </xf>
    <xf numFmtId="164" fontId="6" fillId="0" borderId="1" xfId="2" applyNumberFormat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vertical="center"/>
    </xf>
    <xf numFmtId="2" fontId="7" fillId="0" borderId="1" xfId="1" applyNumberFormat="1" applyFont="1" applyFill="1" applyBorder="1" applyAlignment="1">
      <alignment horizontal="center" vertical="center" wrapText="1"/>
    </xf>
    <xf numFmtId="2" fontId="7" fillId="2" borderId="1" xfId="1" applyNumberFormat="1" applyFont="1" applyFill="1" applyBorder="1" applyAlignment="1">
      <alignment horizontal="center" vertical="center"/>
    </xf>
    <xf numFmtId="0" fontId="8" fillId="2" borderId="1" xfId="1" quotePrefix="1" applyFont="1" applyFill="1" applyBorder="1" applyAlignment="1">
      <alignment horizontal="center" vertical="center" wrapText="1"/>
    </xf>
    <xf numFmtId="2" fontId="7" fillId="0" borderId="0" xfId="1" applyNumberFormat="1" applyFont="1" applyAlignment="1">
      <alignment vertical="center"/>
    </xf>
    <xf numFmtId="0" fontId="5" fillId="0" borderId="0" xfId="1" applyFont="1" applyBorder="1" applyAlignment="1">
      <alignment vertical="center"/>
    </xf>
    <xf numFmtId="0" fontId="7" fillId="2" borderId="5" xfId="1" applyFont="1" applyFill="1" applyBorder="1" applyAlignment="1">
      <alignment horizontal="center" vertical="center" wrapText="1"/>
    </xf>
    <xf numFmtId="0" fontId="9" fillId="0" borderId="1" xfId="1" applyFont="1" applyFill="1" applyBorder="1" applyAlignment="1">
      <alignment horizontal="center" vertical="center" wrapText="1"/>
    </xf>
    <xf numFmtId="0" fontId="10" fillId="0" borderId="0" xfId="1" applyFont="1" applyAlignment="1"/>
    <xf numFmtId="0" fontId="6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7" fillId="0" borderId="0" xfId="1" applyFont="1" applyFill="1" applyBorder="1" applyAlignment="1">
      <alignment horizontal="left" vertical="center"/>
    </xf>
    <xf numFmtId="2" fontId="8" fillId="0" borderId="0" xfId="1" applyNumberFormat="1" applyFont="1" applyFill="1" applyBorder="1" applyAlignment="1">
      <alignment vertical="center"/>
    </xf>
    <xf numFmtId="0" fontId="7" fillId="0" borderId="0" xfId="0" applyFont="1"/>
    <xf numFmtId="0" fontId="6" fillId="0" borderId="0" xfId="1" applyFont="1" applyBorder="1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0" xfId="1" applyFont="1" applyBorder="1" applyAlignment="1">
      <alignment vertical="top" wrapText="1"/>
    </xf>
    <xf numFmtId="0" fontId="10" fillId="0" borderId="0" xfId="1" applyFont="1" applyBorder="1" applyAlignment="1">
      <alignment vertical="center"/>
    </xf>
    <xf numFmtId="0" fontId="5" fillId="0" borderId="0" xfId="1" applyFont="1" applyBorder="1" applyAlignment="1">
      <alignment horizontal="left" vertical="top" wrapText="1"/>
    </xf>
    <xf numFmtId="0" fontId="5" fillId="0" borderId="0" xfId="1" applyFont="1" applyBorder="1" applyAlignment="1">
      <alignment vertical="top" wrapText="1"/>
    </xf>
    <xf numFmtId="0" fontId="13" fillId="0" borderId="0" xfId="1" applyFont="1" applyBorder="1" applyAlignment="1">
      <alignment horizontal="center" vertical="top" wrapText="1"/>
    </xf>
    <xf numFmtId="0" fontId="13" fillId="0" borderId="0" xfId="1" applyFont="1" applyBorder="1" applyAlignment="1">
      <alignment vertical="top" wrapText="1"/>
    </xf>
    <xf numFmtId="0" fontId="5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5" fillId="2" borderId="0" xfId="1" applyFont="1" applyFill="1" applyAlignment="1">
      <alignment vertical="center"/>
    </xf>
    <xf numFmtId="0" fontId="6" fillId="0" borderId="1" xfId="0" applyFont="1" applyFill="1" applyBorder="1" applyAlignment="1">
      <alignment horizontal="center" vertical="center" wrapText="1"/>
    </xf>
    <xf numFmtId="1" fontId="6" fillId="0" borderId="1" xfId="1" applyNumberFormat="1" applyFont="1" applyFill="1" applyBorder="1" applyAlignment="1">
      <alignment horizontal="center" vertical="center" wrapText="1"/>
    </xf>
    <xf numFmtId="14" fontId="7" fillId="2" borderId="5" xfId="0" applyNumberFormat="1" applyFont="1" applyFill="1" applyBorder="1" applyAlignment="1">
      <alignment horizontal="center" vertical="center" wrapText="1"/>
    </xf>
    <xf numFmtId="2" fontId="7" fillId="2" borderId="1" xfId="1" applyNumberFormat="1" applyFont="1" applyFill="1" applyBorder="1" applyAlignment="1">
      <alignment horizontal="left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6" fillId="2" borderId="0" xfId="1" applyFont="1" applyFill="1" applyAlignment="1">
      <alignment vertical="center"/>
    </xf>
    <xf numFmtId="0" fontId="7" fillId="2" borderId="0" xfId="1" applyFont="1" applyFill="1" applyAlignment="1">
      <alignment vertical="center" wrapText="1"/>
    </xf>
    <xf numFmtId="0" fontId="13" fillId="0" borderId="0" xfId="1" applyFont="1" applyBorder="1" applyAlignment="1">
      <alignment horizontal="center" vertical="top" wrapText="1"/>
    </xf>
    <xf numFmtId="0" fontId="7" fillId="0" borderId="0" xfId="1" applyFont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7" fillId="0" borderId="5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2" fontId="7" fillId="0" borderId="1" xfId="1" applyNumberFormat="1" applyFont="1" applyFill="1" applyBorder="1" applyAlignment="1">
      <alignment horizontal="center" vertical="center"/>
    </xf>
    <xf numFmtId="1" fontId="7" fillId="0" borderId="1" xfId="1" applyNumberFormat="1" applyFont="1" applyFill="1" applyBorder="1" applyAlignment="1">
      <alignment horizontal="center" vertical="center"/>
    </xf>
    <xf numFmtId="0" fontId="8" fillId="0" borderId="1" xfId="1" quotePrefix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0" borderId="0" xfId="1" applyFont="1" applyBorder="1" applyAlignment="1">
      <alignment vertical="center" wrapText="1"/>
    </xf>
    <xf numFmtId="0" fontId="5" fillId="2" borderId="0" xfId="1" applyFont="1" applyFill="1" applyAlignment="1">
      <alignment vertical="center" wrapText="1"/>
    </xf>
    <xf numFmtId="0" fontId="7" fillId="0" borderId="0" xfId="1" applyFont="1" applyAlignment="1">
      <alignment vertical="center" wrapText="1"/>
    </xf>
    <xf numFmtId="2" fontId="7" fillId="0" borderId="0" xfId="1" applyNumberFormat="1" applyFont="1" applyFill="1" applyBorder="1" applyAlignment="1">
      <alignment horizontal="left" vertical="center" wrapText="1"/>
    </xf>
    <xf numFmtId="0" fontId="7" fillId="0" borderId="7" xfId="1" applyFont="1" applyFill="1" applyBorder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14" fontId="7" fillId="2" borderId="4" xfId="0" applyNumberFormat="1" applyFont="1" applyFill="1" applyBorder="1" applyAlignment="1">
      <alignment horizontal="center" vertical="center" wrapText="1"/>
    </xf>
    <xf numFmtId="14" fontId="7" fillId="2" borderId="5" xfId="0" applyNumberFormat="1" applyFont="1" applyFill="1" applyBorder="1" applyAlignment="1">
      <alignment horizontal="center" vertical="center" wrapText="1"/>
    </xf>
    <xf numFmtId="0" fontId="7" fillId="2" borderId="2" xfId="1" applyFont="1" applyFill="1" applyBorder="1" applyAlignment="1">
      <alignment horizontal="center" vertical="center" wrapText="1"/>
    </xf>
    <xf numFmtId="0" fontId="7" fillId="2" borderId="6" xfId="1" applyFont="1" applyFill="1" applyBorder="1" applyAlignment="1">
      <alignment horizontal="center" vertical="center" wrapText="1"/>
    </xf>
    <xf numFmtId="0" fontId="7" fillId="2" borderId="3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0" fontId="13" fillId="0" borderId="0" xfId="1" applyFont="1" applyBorder="1" applyAlignment="1">
      <alignment horizontal="center" vertical="top" wrapText="1"/>
    </xf>
    <xf numFmtId="0" fontId="7" fillId="0" borderId="0" xfId="1" applyFont="1" applyBorder="1" applyAlignment="1">
      <alignment horizontal="center" vertical="top" wrapText="1"/>
    </xf>
    <xf numFmtId="0" fontId="7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left" vertical="center" wrapText="1"/>
    </xf>
    <xf numFmtId="2" fontId="7" fillId="2" borderId="1" xfId="1" applyNumberFormat="1" applyFont="1" applyFill="1" applyBorder="1" applyAlignment="1">
      <alignment horizontal="left" vertical="center" wrapText="1"/>
    </xf>
    <xf numFmtId="0" fontId="5" fillId="0" borderId="0" xfId="1" applyFont="1" applyBorder="1" applyAlignment="1">
      <alignment horizontal="center" vertical="top" wrapText="1"/>
    </xf>
    <xf numFmtId="49" fontId="7" fillId="2" borderId="1" xfId="1" applyNumberFormat="1" applyFont="1" applyFill="1" applyBorder="1" applyAlignment="1">
      <alignment horizontal="center" vertical="center" wrapText="1"/>
    </xf>
    <xf numFmtId="49" fontId="9" fillId="0" borderId="1" xfId="1" applyNumberFormat="1" applyFont="1" applyFill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left" vertical="center" wrapText="1"/>
    </xf>
    <xf numFmtId="49" fontId="6" fillId="2" borderId="1" xfId="0" applyNumberFormat="1" applyFont="1" applyFill="1" applyBorder="1" applyAlignment="1">
      <alignment horizontal="left" vertical="center" wrapText="1"/>
    </xf>
    <xf numFmtId="49" fontId="6" fillId="0" borderId="0" xfId="1" applyNumberFormat="1" applyFont="1" applyAlignment="1">
      <alignment vertical="center"/>
    </xf>
    <xf numFmtId="49" fontId="6" fillId="0" borderId="0" xfId="1" applyNumberFormat="1" applyFont="1" applyBorder="1" applyAlignment="1">
      <alignment vertical="center"/>
    </xf>
    <xf numFmtId="49" fontId="13" fillId="0" borderId="0" xfId="1" applyNumberFormat="1" applyFont="1" applyBorder="1" applyAlignment="1">
      <alignment horizontal="center" vertical="top" wrapText="1"/>
    </xf>
    <xf numFmtId="49" fontId="5" fillId="0" borderId="0" xfId="1" applyNumberFormat="1" applyFont="1" applyAlignment="1">
      <alignment vertical="center"/>
    </xf>
    <xf numFmtId="49" fontId="7" fillId="0" borderId="0" xfId="1" applyNumberFormat="1" applyFont="1" applyAlignment="1">
      <alignment horizontal="center" vertical="center"/>
    </xf>
    <xf numFmtId="165" fontId="6" fillId="0" borderId="1" xfId="0" applyNumberFormat="1" applyFont="1" applyBorder="1" applyAlignment="1">
      <alignment horizontal="left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5" fontId="6" fillId="2" borderId="1" xfId="0" applyNumberFormat="1" applyFont="1" applyFill="1" applyBorder="1" applyAlignment="1">
      <alignment horizontal="left" vertical="center" wrapText="1"/>
    </xf>
  </cellXfs>
  <cellStyles count="3">
    <cellStyle name="Comma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7"/>
  <sheetViews>
    <sheetView tabSelected="1" topLeftCell="A13" zoomScaleNormal="100" zoomScaleSheetLayoutView="90" workbookViewId="0">
      <selection activeCell="O21" sqref="O21:Q21"/>
    </sheetView>
  </sheetViews>
  <sheetFormatPr defaultRowHeight="15.75" x14ac:dyDescent="0.25"/>
  <cols>
    <col min="1" max="1" width="5.5703125" style="10" customWidth="1"/>
    <col min="2" max="2" width="42" style="82" customWidth="1"/>
    <col min="3" max="3" width="10" style="10" customWidth="1"/>
    <col min="4" max="4" width="12.140625" style="10" customWidth="1"/>
    <col min="5" max="5" width="11.7109375" style="10" customWidth="1"/>
    <col min="6" max="6" width="11.42578125" style="34" customWidth="1"/>
    <col min="7" max="7" width="7.28515625" style="34" customWidth="1"/>
    <col min="8" max="8" width="7.28515625" style="37" customWidth="1"/>
    <col min="9" max="9" width="9.5703125" style="56" customWidth="1"/>
    <col min="10" max="11" width="7.28515625" style="37" customWidth="1"/>
    <col min="12" max="12" width="7.28515625" style="56" customWidth="1"/>
    <col min="13" max="14" width="7.28515625" style="37" customWidth="1"/>
    <col min="15" max="15" width="8.85546875" style="56" customWidth="1"/>
    <col min="16" max="16" width="9.42578125" style="37" customWidth="1"/>
    <col min="17" max="17" width="8.28515625" style="37" customWidth="1"/>
    <col min="18" max="16384" width="9.140625" style="1"/>
  </cols>
  <sheetData>
    <row r="1" spans="1:18" ht="33" customHeight="1" x14ac:dyDescent="0.25">
      <c r="A1" s="60" t="s">
        <v>21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</row>
    <row r="2" spans="1:18" s="6" customFormat="1" ht="21.75" customHeight="1" x14ac:dyDescent="0.25">
      <c r="A2" s="68" t="s">
        <v>19</v>
      </c>
      <c r="B2" s="68"/>
      <c r="C2" s="68"/>
      <c r="D2" s="68"/>
      <c r="E2" s="68" t="s">
        <v>20</v>
      </c>
      <c r="F2" s="68"/>
      <c r="G2" s="68"/>
      <c r="H2" s="68"/>
      <c r="I2" s="68"/>
      <c r="J2" s="68"/>
      <c r="K2" s="68"/>
      <c r="L2" s="68"/>
      <c r="M2" s="68" t="s">
        <v>26</v>
      </c>
      <c r="N2" s="68"/>
      <c r="O2" s="68"/>
      <c r="P2" s="68"/>
      <c r="Q2" s="68"/>
    </row>
    <row r="3" spans="1:18" s="5" customFormat="1" ht="27.75" customHeight="1" x14ac:dyDescent="0.25">
      <c r="A3" s="59" t="s">
        <v>27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</row>
    <row r="4" spans="1:18" s="44" customFormat="1" ht="48" customHeight="1" x14ac:dyDescent="0.25">
      <c r="A4" s="61" t="s">
        <v>1</v>
      </c>
      <c r="B4" s="75" t="s">
        <v>2</v>
      </c>
      <c r="C4" s="67" t="s">
        <v>22</v>
      </c>
      <c r="D4" s="67" t="s">
        <v>23</v>
      </c>
      <c r="E4" s="62" t="s">
        <v>24</v>
      </c>
      <c r="F4" s="62" t="s">
        <v>25</v>
      </c>
      <c r="G4" s="61" t="s">
        <v>3</v>
      </c>
      <c r="H4" s="61"/>
      <c r="I4" s="61"/>
      <c r="J4" s="64" t="s">
        <v>4</v>
      </c>
      <c r="K4" s="65"/>
      <c r="L4" s="66"/>
      <c r="M4" s="64" t="s">
        <v>5</v>
      </c>
      <c r="N4" s="65"/>
      <c r="O4" s="66"/>
      <c r="P4" s="61" t="s">
        <v>6</v>
      </c>
      <c r="Q4" s="61" t="s">
        <v>0</v>
      </c>
    </row>
    <row r="5" spans="1:18" s="37" customFormat="1" ht="82.5" customHeight="1" x14ac:dyDescent="0.25">
      <c r="A5" s="61"/>
      <c r="B5" s="75"/>
      <c r="C5" s="67"/>
      <c r="D5" s="67"/>
      <c r="E5" s="63"/>
      <c r="F5" s="63"/>
      <c r="G5" s="40" t="s">
        <v>10</v>
      </c>
      <c r="H5" s="48" t="s">
        <v>9</v>
      </c>
      <c r="I5" s="18" t="s">
        <v>7</v>
      </c>
      <c r="J5" s="40" t="s">
        <v>10</v>
      </c>
      <c r="K5" s="49" t="s">
        <v>9</v>
      </c>
      <c r="L5" s="47" t="s">
        <v>7</v>
      </c>
      <c r="M5" s="40" t="s">
        <v>10</v>
      </c>
      <c r="N5" s="49" t="s">
        <v>9</v>
      </c>
      <c r="O5" s="47" t="s">
        <v>7</v>
      </c>
      <c r="P5" s="61"/>
      <c r="Q5" s="61"/>
    </row>
    <row r="6" spans="1:18" s="10" customFormat="1" ht="19.5" customHeight="1" x14ac:dyDescent="0.25">
      <c r="A6" s="19">
        <v>1</v>
      </c>
      <c r="B6" s="76">
        <v>2</v>
      </c>
      <c r="C6" s="19">
        <v>3</v>
      </c>
      <c r="D6" s="19">
        <v>4</v>
      </c>
      <c r="E6" s="19">
        <v>5</v>
      </c>
      <c r="F6" s="19">
        <v>6</v>
      </c>
      <c r="G6" s="19">
        <v>7</v>
      </c>
      <c r="H6" s="19">
        <v>8</v>
      </c>
      <c r="I6" s="19">
        <v>9</v>
      </c>
      <c r="J6" s="19">
        <v>10</v>
      </c>
      <c r="K6" s="19">
        <v>11</v>
      </c>
      <c r="L6" s="19">
        <v>12</v>
      </c>
      <c r="M6" s="19">
        <v>13</v>
      </c>
      <c r="N6" s="19">
        <v>14</v>
      </c>
      <c r="O6" s="19">
        <v>15</v>
      </c>
      <c r="P6" s="19">
        <v>16</v>
      </c>
      <c r="Q6" s="19">
        <v>17</v>
      </c>
    </row>
    <row r="7" spans="1:18" s="21" customFormat="1" ht="24" customHeight="1" x14ac:dyDescent="0.25">
      <c r="A7" s="38">
        <v>1</v>
      </c>
      <c r="B7" s="77"/>
      <c r="C7" s="84"/>
      <c r="D7" s="84"/>
      <c r="E7" s="85"/>
      <c r="F7" s="85"/>
      <c r="G7" s="39"/>
      <c r="H7" s="39"/>
      <c r="I7" s="8" t="str">
        <f>IF(H7&lt;5,"Chưa đạt",IF(H7&lt;7,"Đạt",IF(H7&lt;9,"Tốt","Rất tốt")))</f>
        <v>Chưa đạt</v>
      </c>
      <c r="J7" s="39"/>
      <c r="K7" s="39"/>
      <c r="L7" s="8" t="str">
        <f>IF(K7&lt;5,"Chậm",IF(K7&lt;7,"Kịp",IF(K7&lt;9,"Nhanh","Rất nhanh")))</f>
        <v>Chậm</v>
      </c>
      <c r="M7" s="39"/>
      <c r="N7" s="39"/>
      <c r="O7" s="8" t="str">
        <f>IF(N7&lt;5,"Ít",IF(N7&lt;7,"Vừa đủ",IF(N7&lt;9,"Nhiều","Rất nhiều")))</f>
        <v>Ít</v>
      </c>
      <c r="P7" s="9">
        <f>H7*0.4+K7*0.3+N7*0.3</f>
        <v>0</v>
      </c>
      <c r="Q7" s="9"/>
    </row>
    <row r="8" spans="1:18" s="21" customFormat="1" ht="24" customHeight="1" x14ac:dyDescent="0.25">
      <c r="A8" s="38">
        <v>2</v>
      </c>
      <c r="B8" s="77"/>
      <c r="C8" s="84"/>
      <c r="D8" s="84"/>
      <c r="E8" s="85"/>
      <c r="F8" s="85"/>
      <c r="G8" s="39"/>
      <c r="H8" s="39"/>
      <c r="I8" s="8" t="str">
        <f t="shared" ref="I8:I9" si="0">IF(H8&lt;5,"Chưa đạt",IF(H8&lt;7,"Đạt",IF(H8&lt;9,"Tốt","Rất tốt")))</f>
        <v>Chưa đạt</v>
      </c>
      <c r="J8" s="39"/>
      <c r="K8" s="39"/>
      <c r="L8" s="8" t="str">
        <f t="shared" ref="L8:L9" si="1">IF(K8&lt;5,"Chậm",IF(K8&lt;7,"Kịp",IF(K8&lt;9,"Nhanh","Rất nhanh")))</f>
        <v>Chậm</v>
      </c>
      <c r="M8" s="39"/>
      <c r="N8" s="39"/>
      <c r="O8" s="8" t="str">
        <f t="shared" ref="O8:O9" si="2">IF(N8&lt;5,"Ít",IF(N8&lt;7,"Vừa đủ",IF(N8&lt;9,"Nhiều","Rất nhiều")))</f>
        <v>Ít</v>
      </c>
      <c r="P8" s="9">
        <f t="shared" ref="P8:P9" si="3">H8*0.4+K8*0.3+N8*0.3</f>
        <v>0</v>
      </c>
      <c r="Q8" s="9"/>
    </row>
    <row r="9" spans="1:18" s="21" customFormat="1" ht="24" customHeight="1" x14ac:dyDescent="0.25">
      <c r="A9" s="38">
        <v>3</v>
      </c>
      <c r="B9" s="77"/>
      <c r="C9" s="84"/>
      <c r="D9" s="84"/>
      <c r="E9" s="85"/>
      <c r="F9" s="85"/>
      <c r="G9" s="39"/>
      <c r="H9" s="39"/>
      <c r="I9" s="8" t="str">
        <f t="shared" si="0"/>
        <v>Chưa đạt</v>
      </c>
      <c r="J9" s="39"/>
      <c r="K9" s="39"/>
      <c r="L9" s="8" t="str">
        <f t="shared" si="1"/>
        <v>Chậm</v>
      </c>
      <c r="M9" s="39"/>
      <c r="N9" s="39"/>
      <c r="O9" s="8" t="str">
        <f t="shared" si="2"/>
        <v>Ít</v>
      </c>
      <c r="P9" s="9">
        <f t="shared" si="3"/>
        <v>0</v>
      </c>
      <c r="Q9" s="9"/>
    </row>
    <row r="10" spans="1:18" s="43" customFormat="1" ht="24" customHeight="1" x14ac:dyDescent="0.25">
      <c r="A10" s="38">
        <v>4</v>
      </c>
      <c r="B10" s="78"/>
      <c r="C10" s="86"/>
      <c r="D10" s="86"/>
      <c r="E10" s="85"/>
      <c r="F10" s="85"/>
      <c r="G10" s="39"/>
      <c r="H10" s="39"/>
      <c r="I10" s="8" t="str">
        <f t="shared" ref="I10:I12" si="4">IF(H10&lt;5,"Chưa đạt",IF(H10&lt;7,"Đạt",IF(H10&lt;9,"Tốt","Rất tốt")))</f>
        <v>Chưa đạt</v>
      </c>
      <c r="J10" s="39"/>
      <c r="K10" s="39"/>
      <c r="L10" s="8" t="str">
        <f t="shared" ref="L10:L12" si="5">IF(K10&lt;5,"Chậm",IF(K10&lt;7,"Kịp",IF(K10&lt;9,"Nhanh","Rất nhanh")))</f>
        <v>Chậm</v>
      </c>
      <c r="M10" s="39"/>
      <c r="N10" s="39"/>
      <c r="O10" s="8" t="str">
        <f t="shared" ref="O10:O12" si="6">IF(N10&lt;5,"Ít",IF(N10&lt;7,"Vừa đủ",IF(N10&lt;9,"Nhiều","Rất nhiều")))</f>
        <v>Ít</v>
      </c>
      <c r="P10" s="42">
        <f t="shared" ref="P10:P12" si="7">H10*0.4+K10*0.3+N10*0.3</f>
        <v>0</v>
      </c>
      <c r="Q10" s="42"/>
    </row>
    <row r="11" spans="1:18" s="43" customFormat="1" ht="24" customHeight="1" x14ac:dyDescent="0.25">
      <c r="A11" s="38">
        <v>5</v>
      </c>
      <c r="B11" s="78"/>
      <c r="C11" s="86"/>
      <c r="D11" s="86"/>
      <c r="E11" s="85"/>
      <c r="F11" s="85"/>
      <c r="G11" s="39"/>
      <c r="H11" s="39"/>
      <c r="I11" s="8" t="str">
        <f t="shared" si="4"/>
        <v>Chưa đạt</v>
      </c>
      <c r="J11" s="39"/>
      <c r="K11" s="39"/>
      <c r="L11" s="8" t="str">
        <f t="shared" si="5"/>
        <v>Chậm</v>
      </c>
      <c r="M11" s="39"/>
      <c r="N11" s="39"/>
      <c r="O11" s="8" t="str">
        <f t="shared" si="6"/>
        <v>Ít</v>
      </c>
      <c r="P11" s="42">
        <f t="shared" si="7"/>
        <v>0</v>
      </c>
      <c r="Q11" s="42"/>
    </row>
    <row r="12" spans="1:18" s="43" customFormat="1" ht="24" customHeight="1" x14ac:dyDescent="0.25">
      <c r="A12" s="38">
        <v>6</v>
      </c>
      <c r="B12" s="78"/>
      <c r="C12" s="86"/>
      <c r="D12" s="86"/>
      <c r="E12" s="85"/>
      <c r="F12" s="85"/>
      <c r="G12" s="39"/>
      <c r="H12" s="39"/>
      <c r="I12" s="8" t="str">
        <f t="shared" si="4"/>
        <v>Chưa đạt</v>
      </c>
      <c r="J12" s="39"/>
      <c r="K12" s="39"/>
      <c r="L12" s="8" t="str">
        <f t="shared" si="5"/>
        <v>Chậm</v>
      </c>
      <c r="M12" s="39"/>
      <c r="N12" s="39"/>
      <c r="O12" s="8" t="str">
        <f t="shared" si="6"/>
        <v>Ít</v>
      </c>
      <c r="P12" s="42">
        <f t="shared" si="7"/>
        <v>0</v>
      </c>
      <c r="Q12" s="42"/>
    </row>
    <row r="13" spans="1:18" s="12" customFormat="1" ht="25.5" customHeight="1" x14ac:dyDescent="0.25">
      <c r="A13" s="7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39">
        <f>SUM(M7:M12)/5</f>
        <v>0</v>
      </c>
      <c r="N13" s="39">
        <f>SUM(N7:N12)/5</f>
        <v>0</v>
      </c>
      <c r="O13" s="8" t="str">
        <f>IF(N13&lt;5,"Ít",IF(N13&lt;7,"Vừa đủ",IF(N13&lt;9,"Nhiều","Rất nhiều")))</f>
        <v>Ít</v>
      </c>
      <c r="P13" s="9">
        <f>N13</f>
        <v>0</v>
      </c>
      <c r="Q13" s="11"/>
    </row>
    <row r="14" spans="1:18" s="16" customFormat="1" ht="22.5" customHeight="1" x14ac:dyDescent="0.25">
      <c r="A14" s="13"/>
      <c r="B14" s="73" t="s">
        <v>16</v>
      </c>
      <c r="C14" s="73"/>
      <c r="D14" s="73"/>
      <c r="E14" s="73"/>
      <c r="F14" s="73"/>
      <c r="G14" s="41"/>
      <c r="H14" s="14" t="e">
        <f>SUM(H7:H13)/COUNTA(H7:H13)</f>
        <v>#DIV/0!</v>
      </c>
      <c r="I14" s="15" t="e">
        <f>IF(H14&lt;5,"Chưa đạt",IF(H14&lt;7,"Đạt",IF(H14&lt;9,"Tốt","Rất tốt")))</f>
        <v>#DIV/0!</v>
      </c>
      <c r="J14" s="15"/>
      <c r="K14" s="14" t="e">
        <f>SUM(K7:K13)/COUNTA(K7:K13)</f>
        <v>#DIV/0!</v>
      </c>
      <c r="L14" s="15" t="e">
        <f>IF(K14&lt;5,"Chậm",IF(K14&lt;7,"Kịp",IF(K14&lt;9,"Nhanh","Rất nhanh")))</f>
        <v>#DIV/0!</v>
      </c>
      <c r="M14" s="15"/>
      <c r="N14" s="14">
        <f>SUM(N7:N13)/COUNTA(N7:N13)</f>
        <v>0</v>
      </c>
      <c r="O14" s="15" t="str">
        <f>IF(N14&lt;5,"Ít",IF(N14&lt;7,"Vừa đủ",IF(N14&lt;9,"Nhiều","Rất nhiều")))</f>
        <v>Ít</v>
      </c>
      <c r="P14" s="50">
        <f>SUM(P7:P13)/COUNTA(P7:P13)</f>
        <v>0</v>
      </c>
      <c r="Q14" s="15"/>
      <c r="R14" s="12"/>
    </row>
    <row r="15" spans="1:18" s="16" customFormat="1" ht="21" customHeight="1" x14ac:dyDescent="0.25">
      <c r="A15" s="13"/>
      <c r="B15" s="73" t="s">
        <v>17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51">
        <f>P14</f>
        <v>0</v>
      </c>
      <c r="Q15" s="15"/>
      <c r="R15" s="12"/>
    </row>
    <row r="16" spans="1:18" s="16" customFormat="1" ht="21.75" customHeight="1" x14ac:dyDescent="0.25">
      <c r="A16" s="13"/>
      <c r="B16" s="73" t="s">
        <v>18</v>
      </c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52" t="str">
        <f>IF(P15&lt;4.5,"Chưa đạt",IF(P15&lt;6.5,"Đạt",IF(P15&lt;8.5,"Tốt","Rất tốt")))</f>
        <v>Chưa đạt</v>
      </c>
      <c r="Q16" s="15"/>
      <c r="R16" s="12"/>
    </row>
    <row r="17" spans="1:18" s="4" customFormat="1" ht="24.75" customHeight="1" x14ac:dyDescent="0.25">
      <c r="A17" s="20" t="s">
        <v>8</v>
      </c>
      <c r="B17" s="79"/>
      <c r="C17" s="21"/>
      <c r="D17" s="21"/>
      <c r="E17" s="21"/>
      <c r="F17" s="22"/>
      <c r="G17" s="22"/>
      <c r="H17" s="21"/>
      <c r="I17" s="53"/>
      <c r="J17" s="23"/>
      <c r="K17" s="23"/>
      <c r="L17" s="53"/>
      <c r="M17" s="23"/>
      <c r="N17" s="23"/>
      <c r="O17" s="58"/>
      <c r="P17" s="23"/>
      <c r="Q17" s="24"/>
      <c r="R17" s="3"/>
    </row>
    <row r="18" spans="1:18" s="5" customFormat="1" ht="17.25" customHeight="1" x14ac:dyDescent="0.25">
      <c r="A18" s="25" t="s">
        <v>12</v>
      </c>
      <c r="B18" s="80"/>
      <c r="C18" s="26"/>
      <c r="D18" s="26"/>
      <c r="E18" s="26"/>
      <c r="F18" s="27"/>
      <c r="G18" s="27"/>
      <c r="H18" s="26"/>
      <c r="I18" s="54"/>
      <c r="J18" s="10"/>
      <c r="K18" s="10"/>
      <c r="L18" s="54"/>
      <c r="M18" s="10"/>
      <c r="N18" s="10"/>
      <c r="O18" s="28"/>
      <c r="P18" s="28"/>
      <c r="Q18" s="28"/>
      <c r="R18" s="3"/>
    </row>
    <row r="19" spans="1:18" s="5" customFormat="1" ht="17.25" customHeight="1" x14ac:dyDescent="0.2">
      <c r="A19" s="25" t="s">
        <v>11</v>
      </c>
      <c r="B19" s="80"/>
      <c r="C19" s="26"/>
      <c r="D19" s="26"/>
      <c r="E19" s="26"/>
      <c r="F19" s="27"/>
      <c r="G19" s="27"/>
      <c r="H19" s="26"/>
      <c r="I19" s="54"/>
      <c r="J19" s="10"/>
      <c r="K19" s="10"/>
      <c r="L19" s="54"/>
      <c r="M19" s="10"/>
      <c r="N19" s="10"/>
      <c r="O19" s="28"/>
      <c r="P19" s="28"/>
      <c r="Q19" s="28"/>
      <c r="R19" s="3"/>
    </row>
    <row r="20" spans="1:18" s="5" customFormat="1" ht="17.25" customHeight="1" x14ac:dyDescent="0.2">
      <c r="A20" s="25"/>
      <c r="B20" s="80"/>
      <c r="C20" s="26"/>
      <c r="D20" s="26"/>
      <c r="E20" s="26"/>
      <c r="F20" s="27"/>
      <c r="G20" s="27"/>
      <c r="H20" s="26"/>
      <c r="I20" s="54"/>
      <c r="J20" s="10"/>
      <c r="K20" s="10"/>
      <c r="L20" s="54"/>
      <c r="M20" s="10"/>
      <c r="N20" s="10"/>
      <c r="O20" s="28"/>
      <c r="P20" s="28"/>
      <c r="Q20" s="28"/>
      <c r="R20" s="3"/>
    </row>
    <row r="21" spans="1:18" s="5" customFormat="1" ht="18" customHeight="1" x14ac:dyDescent="0.25">
      <c r="A21" s="29"/>
      <c r="B21" s="80"/>
      <c r="C21" s="26"/>
      <c r="D21" s="26"/>
      <c r="E21" s="26"/>
      <c r="F21" s="74" t="s">
        <v>28</v>
      </c>
      <c r="G21" s="74"/>
      <c r="H21" s="74"/>
      <c r="I21" s="74"/>
      <c r="J21" s="30"/>
      <c r="K21" s="10"/>
      <c r="L21" s="54"/>
      <c r="M21" s="10"/>
      <c r="N21" s="31"/>
      <c r="O21" s="74" t="s">
        <v>28</v>
      </c>
      <c r="P21" s="74"/>
      <c r="Q21" s="74"/>
      <c r="R21" s="3"/>
    </row>
    <row r="22" spans="1:18" s="5" customFormat="1" ht="34.5" customHeight="1" x14ac:dyDescent="0.25">
      <c r="A22" s="29"/>
      <c r="B22" s="81" t="s">
        <v>13</v>
      </c>
      <c r="C22" s="45"/>
      <c r="D22" s="45"/>
      <c r="E22" s="32"/>
      <c r="F22" s="69" t="s">
        <v>14</v>
      </c>
      <c r="G22" s="69"/>
      <c r="H22" s="69"/>
      <c r="I22" s="69"/>
      <c r="J22" s="32"/>
      <c r="K22" s="10"/>
      <c r="L22" s="54"/>
      <c r="M22" s="10"/>
      <c r="N22" s="33"/>
      <c r="O22" s="70" t="s">
        <v>15</v>
      </c>
      <c r="P22" s="70"/>
      <c r="Q22" s="70"/>
      <c r="R22" s="3"/>
    </row>
    <row r="23" spans="1:18" s="5" customFormat="1" ht="24.75" customHeight="1" x14ac:dyDescent="0.25">
      <c r="A23" s="29"/>
      <c r="B23" s="80"/>
      <c r="C23" s="26"/>
      <c r="D23" s="26"/>
      <c r="E23" s="26"/>
      <c r="F23" s="27"/>
      <c r="G23" s="27"/>
      <c r="H23" s="17"/>
      <c r="I23" s="55"/>
      <c r="J23" s="17"/>
      <c r="K23" s="10"/>
      <c r="L23" s="54"/>
      <c r="M23" s="10"/>
      <c r="N23" s="17"/>
      <c r="O23" s="28"/>
      <c r="P23" s="10"/>
      <c r="Q23" s="28"/>
      <c r="R23" s="3"/>
    </row>
    <row r="24" spans="1:18" s="5" customFormat="1" x14ac:dyDescent="0.25">
      <c r="A24" s="10"/>
      <c r="B24" s="82"/>
      <c r="C24" s="10"/>
      <c r="D24" s="10"/>
      <c r="E24" s="10"/>
      <c r="F24" s="34"/>
      <c r="G24" s="34"/>
      <c r="H24" s="10"/>
      <c r="I24" s="54"/>
      <c r="J24" s="10"/>
      <c r="K24" s="10"/>
      <c r="L24" s="54"/>
      <c r="M24" s="10"/>
      <c r="N24" s="10"/>
      <c r="O24" s="54"/>
      <c r="P24" s="10"/>
      <c r="Q24" s="10"/>
      <c r="R24" s="3"/>
    </row>
    <row r="25" spans="1:18" s="5" customFormat="1" x14ac:dyDescent="0.25">
      <c r="A25" s="10"/>
      <c r="B25" s="82"/>
      <c r="C25" s="10"/>
      <c r="D25" s="10"/>
      <c r="E25" s="10"/>
      <c r="F25" s="34"/>
      <c r="G25" s="34"/>
      <c r="H25" s="10"/>
      <c r="I25" s="54"/>
      <c r="J25" s="10"/>
      <c r="K25" s="10"/>
      <c r="L25" s="54"/>
      <c r="M25" s="10"/>
      <c r="N25" s="10"/>
      <c r="O25" s="54"/>
      <c r="P25" s="10"/>
      <c r="Q25" s="10"/>
      <c r="R25" s="3"/>
    </row>
    <row r="26" spans="1:18" s="5" customFormat="1" x14ac:dyDescent="0.25">
      <c r="A26" s="10"/>
      <c r="B26" s="82"/>
      <c r="C26" s="10"/>
      <c r="D26" s="10"/>
      <c r="E26" s="10"/>
      <c r="F26" s="34"/>
      <c r="G26" s="34"/>
      <c r="H26" s="10"/>
      <c r="I26" s="54"/>
      <c r="J26" s="10"/>
      <c r="K26" s="10"/>
      <c r="L26" s="54"/>
      <c r="M26" s="10"/>
      <c r="N26" s="10"/>
      <c r="O26" s="54"/>
      <c r="P26" s="10"/>
      <c r="Q26" s="10"/>
      <c r="R26" s="3"/>
    </row>
    <row r="27" spans="1:18" s="6" customFormat="1" x14ac:dyDescent="0.25">
      <c r="A27" s="35"/>
      <c r="B27" s="83"/>
      <c r="C27" s="46"/>
      <c r="D27" s="46"/>
      <c r="E27" s="35"/>
      <c r="F27" s="71"/>
      <c r="G27" s="71"/>
      <c r="H27" s="71"/>
      <c r="I27" s="71"/>
      <c r="J27" s="36"/>
      <c r="K27" s="35"/>
      <c r="L27" s="57"/>
      <c r="M27" s="35"/>
      <c r="N27" s="35"/>
      <c r="O27" s="71"/>
      <c r="P27" s="71"/>
      <c r="Q27" s="71"/>
      <c r="R27" s="2"/>
    </row>
  </sheetData>
  <mergeCells count="26">
    <mergeCell ref="F22:I22"/>
    <mergeCell ref="O22:Q22"/>
    <mergeCell ref="F27:I27"/>
    <mergeCell ref="B13:L13"/>
    <mergeCell ref="B14:F14"/>
    <mergeCell ref="B15:O15"/>
    <mergeCell ref="F21:I21"/>
    <mergeCell ref="B16:O16"/>
    <mergeCell ref="O21:Q21"/>
    <mergeCell ref="O27:Q27"/>
    <mergeCell ref="A3:Q3"/>
    <mergeCell ref="A1:Q1"/>
    <mergeCell ref="A4:A5"/>
    <mergeCell ref="B4:B5"/>
    <mergeCell ref="E4:E5"/>
    <mergeCell ref="F4:F5"/>
    <mergeCell ref="G4:I4"/>
    <mergeCell ref="J4:L4"/>
    <mergeCell ref="M4:O4"/>
    <mergeCell ref="P4:P5"/>
    <mergeCell ref="Q4:Q5"/>
    <mergeCell ref="C4:C5"/>
    <mergeCell ref="D4:D5"/>
    <mergeCell ref="A2:D2"/>
    <mergeCell ref="E2:L2"/>
    <mergeCell ref="M2:Q2"/>
  </mergeCells>
  <printOptions horizontalCentered="1"/>
  <pageMargins left="0" right="0" top="0.25" bottom="0.5" header="0.15" footer="0.3"/>
  <pageSetup paperSize="9" scale="80" orientation="landscape" r:id="rId1"/>
  <headerFooter>
    <oddHeader>&amp;R&amp;"Times New Roman,Regular"&amp;10PPS-HRM-WI04-FM01</oddHeader>
    <oddFooter>&amp;L&amp;"Times New Roman,Regular"&amp;10 07/01/2015&amp;R&amp;"Times New Roman,Regular"&amp;10Trang: 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FM01</vt:lpstr>
      <vt:lpstr>'FM01'!Print_Area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Huu Hien</dc:creator>
  <cp:lastModifiedBy>RnDDept</cp:lastModifiedBy>
  <cp:lastPrinted>2016-10-05T01:19:54Z</cp:lastPrinted>
  <dcterms:created xsi:type="dcterms:W3CDTF">2014-05-06T09:21:16Z</dcterms:created>
  <dcterms:modified xsi:type="dcterms:W3CDTF">2017-04-09T16:41:26Z</dcterms:modified>
</cp:coreProperties>
</file>