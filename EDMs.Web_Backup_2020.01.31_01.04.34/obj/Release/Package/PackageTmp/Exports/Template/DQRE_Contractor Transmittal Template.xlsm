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00. Workspace\EDMS - DQRE\Source\Web\EDMs.Web\Exports\Template\"/>
    </mc:Choice>
  </mc:AlternateContent>
  <bookViews>
    <workbookView xWindow="0" yWindow="0" windowWidth="28800" windowHeight="12135" tabRatio="783" firstSheet="8" activeTab="8"/>
  </bookViews>
  <sheets>
    <sheet name="README" sheetId="15" state="veryHidden" r:id="rId1"/>
    <sheet name="Document (MASTER)" sheetId="65" state="hidden" r:id="rId2"/>
    <sheet name="Document (REV)" sheetId="38" state="hidden" r:id="rId3"/>
    <sheet name="Document (VER)" sheetId="39" state="hidden" r:id="rId4"/>
    <sheet name="Document (FILE)" sheetId="60" state="hidden" r:id="rId5"/>
    <sheet name="Incoming XMTL" sheetId="49" state="hidden" r:id="rId6"/>
    <sheet name="Incoming XMTL Section" sheetId="50" state="hidden" r:id="rId7"/>
    <sheet name="Mapping" sheetId="14" state="hidden" r:id="rId8"/>
    <sheet name="Transmittal Form" sheetId="59" r:id="rId9"/>
    <sheet name="File List" sheetId="64" r:id="rId10"/>
  </sheets>
  <functionGroups builtInGroupCount="18"/>
  <externalReferences>
    <externalReference r:id="rId11"/>
  </externalReferences>
  <definedNames>
    <definedName name="AllBoolean" localSheetId="1">[1]README!$I$14:$I$16</definedName>
    <definedName name="AllBoolean">README!$I$14:$I$16</definedName>
    <definedName name="AllFormats" localSheetId="1">[1]README!$H$14:$H$16</definedName>
    <definedName name="AllFormats">README!$H$14:$H$16</definedName>
    <definedName name="AllScopes" localSheetId="1">[1]README!$G$14:$G$18</definedName>
    <definedName name="AllScopes">README!$G$14:$G$18</definedName>
    <definedName name="AllSolutions" localSheetId="1">[1]README!$F$14:$F$18</definedName>
    <definedName name="AllSolutions">README!$F$14:$F$18</definedName>
    <definedName name="_xlnm.Print_Area" localSheetId="9">'File List'!$A:$D</definedName>
    <definedName name="_xlnm.Print_Area" localSheetId="8">'Transmittal Form'!$A:$K</definedName>
    <definedName name="_xlnm.Print_Titles" localSheetId="8">'Transmittal Form'!#REF!</definedName>
  </definedNames>
  <calcPr calcId="152511"/>
</workbook>
</file>

<file path=xl/calcChain.xml><?xml version="1.0" encoding="utf-8"?>
<calcChain xmlns="http://schemas.openxmlformats.org/spreadsheetml/2006/main">
  <c r="B7" i="49" l="1"/>
  <c r="I7" i="49" s="1"/>
  <c r="C4" i="49"/>
  <c r="M4" i="49" s="1"/>
  <c r="G4" i="49" l="1"/>
  <c r="N4" i="49"/>
  <c r="B4" i="49"/>
  <c r="M7" i="49" s="1"/>
  <c r="C4" i="50"/>
  <c r="F4" i="50" s="1"/>
  <c r="H4" i="49"/>
  <c r="E4" i="49"/>
  <c r="L4" i="49"/>
  <c r="F4" i="49"/>
  <c r="E4" i="50" s="1"/>
  <c r="F7" i="49" l="1"/>
  <c r="C7" i="49"/>
  <c r="B4" i="50"/>
  <c r="E7" i="49"/>
  <c r="D7" i="49"/>
  <c r="J7" i="49"/>
  <c r="K7" i="49"/>
  <c r="L7" i="49"/>
  <c r="C7" i="50"/>
  <c r="G7" i="49"/>
  <c r="D7" i="50" l="1"/>
  <c r="B7" i="50" s="1"/>
  <c r="E7" i="50" s="1"/>
</calcChain>
</file>

<file path=xl/comments1.xml><?xml version="1.0" encoding="utf-8"?>
<comments xmlns="http://schemas.openxmlformats.org/spreadsheetml/2006/main">
  <authors>
    <author>Trinh Thi Hong Ha</author>
  </authors>
  <commentList>
    <comment ref="Z13" authorId="0" shapeId="0">
      <text>
        <r>
          <rPr>
            <b/>
            <sz val="9"/>
            <color indexed="81"/>
            <rFont val="Tahoma"/>
            <family val="2"/>
          </rPr>
          <t>Empty</t>
        </r>
      </text>
    </comment>
  </commentList>
</comments>
</file>

<file path=xl/sharedStrings.xml><?xml version="1.0" encoding="utf-8"?>
<sst xmlns="http://schemas.openxmlformats.org/spreadsheetml/2006/main" count="1109" uniqueCount="474">
  <si>
    <t>Description</t>
  </si>
  <si>
    <t>&lt;Description goes here.&gt;</t>
  </si>
  <si>
    <t>CompSchema</t>
  </si>
  <si>
    <t>UID</t>
  </si>
  <si>
    <t>Name</t>
  </si>
  <si>
    <t>SchemaRevVer</t>
  </si>
  <si>
    <t>By Customer?</t>
  </si>
  <si>
    <t>ContainerID</t>
  </si>
  <si>
    <t>Solution(s)</t>
  </si>
  <si>
    <t>InterfaceDef</t>
  </si>
  <si>
    <t>Display As</t>
  </si>
  <si>
    <t>Specialization Value</t>
  </si>
  <si>
    <t>IEngineeringDocMaster</t>
  </si>
  <si>
    <t>Implies</t>
  </si>
  <si>
    <t>UID1</t>
  </si>
  <si>
    <t>Name 1 (Implying)</t>
  </si>
  <si>
    <t>UID2</t>
  </si>
  <si>
    <t>Name 2 (Implied)</t>
  </si>
  <si>
    <t>IsRequired</t>
  </si>
  <si>
    <t>OrderValue</t>
  </si>
  <si>
    <t>IObject</t>
  </si>
  <si>
    <t>ClassDef</t>
  </si>
  <si>
    <t>Is Config Controlled?</t>
  </si>
  <si>
    <t>Unique Key Def</t>
  </si>
  <si>
    <t>ModelDef (ClassDef Rel)</t>
  </si>
  <si>
    <t>CompSchema (ClassDef Rel)</t>
  </si>
  <si>
    <t>PrimaryInterfaceDef (ClassDef Rel)</t>
  </si>
  <si>
    <t>ClassFactory (ClassDef Rel)</t>
  </si>
  <si>
    <t>SPFFTREnabled</t>
  </si>
  <si>
    <t>SPXEngineeringDocMaster</t>
  </si>
  <si>
    <t>ModelClass</t>
  </si>
  <si>
    <t>Name 1 (ModelDef)</t>
  </si>
  <si>
    <t>Name 2 (ClassDef)</t>
  </si>
  <si>
    <t>Componentization</t>
  </si>
  <si>
    <t>Name 1 (CompSchema)</t>
  </si>
  <si>
    <t>Instantiates</t>
  </si>
  <si>
    <t>PrimaryInterface</t>
  </si>
  <si>
    <t>Name 1 (ClassDef)</t>
  </si>
  <si>
    <t>Name 2 (InterfaceDef)</t>
  </si>
  <si>
    <t>Realizes</t>
  </si>
  <si>
    <t>Sharing</t>
  </si>
  <si>
    <t>ByCust</t>
  </si>
  <si>
    <t>SPFIncludesClass</t>
  </si>
  <si>
    <t>EnumListType</t>
  </si>
  <si>
    <t>Numeric Value</t>
  </si>
  <si>
    <t>IsOpenList</t>
  </si>
  <si>
    <t>EnumEnum</t>
  </si>
  <si>
    <t>DisplayName</t>
  </si>
  <si>
    <t>EnumNumber</t>
  </si>
  <si>
    <t>Contains</t>
  </si>
  <si>
    <t>Name 1 (Parent)</t>
  </si>
  <si>
    <t>Name 2 (Child)</t>
  </si>
  <si>
    <t>EnumMetadata</t>
  </si>
  <si>
    <t>PropertyDef</t>
  </si>
  <si>
    <t>InterfaceDef (PropertyDef Rel)</t>
  </si>
  <si>
    <t>PropertyType (PropertyDef Rel)</t>
  </si>
  <si>
    <t>DefaultValue</t>
  </si>
  <si>
    <t>EngineeringDoc_BookReferenceCode</t>
  </si>
  <si>
    <t>ScopedBy</t>
  </si>
  <si>
    <t>Name 1 (PropertyDef)</t>
  </si>
  <si>
    <t>Name 2 (PropertyType)</t>
  </si>
  <si>
    <t>Exposes</t>
  </si>
  <si>
    <t>Name 1 (InterfaceDef)</t>
  </si>
  <si>
    <t>Name 2 (PropertyDef)</t>
  </si>
  <si>
    <t>RelDef</t>
  </si>
  <si>
    <t>Specialization of</t>
  </si>
  <si>
    <t>Role 1</t>
  </si>
  <si>
    <t>Is Abstract?</t>
  </si>
  <si>
    <t>Link Interfaces</t>
  </si>
  <si>
    <t>Role 1 Display As</t>
  </si>
  <si>
    <t>End 1 Min</t>
  </si>
  <si>
    <t>End 1 Max</t>
  </si>
  <si>
    <t>End1Locality</t>
  </si>
  <si>
    <t>Role 2</t>
  </si>
  <si>
    <t>Role 2 Display As</t>
  </si>
  <si>
    <t>End 2 Min</t>
  </si>
  <si>
    <t>End 2 Max</t>
  </si>
  <si>
    <t>End2Locality</t>
  </si>
  <si>
    <t>Filter 1-to-2</t>
  </si>
  <si>
    <t>Filter 2-to-1</t>
  </si>
  <si>
    <t>Delete 1-to-2</t>
  </si>
  <si>
    <t>Delete 2-to-1</t>
  </si>
  <si>
    <t>Copy21</t>
  </si>
  <si>
    <t>Copy12</t>
  </si>
  <si>
    <t>SPFToolCreate12</t>
  </si>
  <si>
    <t>SPFToolCreate21</t>
  </si>
  <si>
    <t>Owner12</t>
  </si>
  <si>
    <t>SPFCascade12</t>
  </si>
  <si>
    <t>SPFCascade21</t>
  </si>
  <si>
    <t>ForceNullConfig</t>
  </si>
  <si>
    <t>DocumentDiscipline</t>
  </si>
  <si>
    <t>DocumentProject</t>
  </si>
  <si>
    <t>PlantDocument</t>
  </si>
  <si>
    <t>Plant</t>
  </si>
  <si>
    <t>SystemDocument</t>
  </si>
  <si>
    <t>System</t>
  </si>
  <si>
    <t>SPFRelDefMapsTo</t>
  </si>
  <si>
    <t>SPFMapDirection</t>
  </si>
  <si>
    <t>EdgeDef</t>
  </si>
  <si>
    <t>Starting InterfaceDef</t>
  </si>
  <si>
    <t>Edge Definition</t>
  </si>
  <si>
    <t>Property Comparisons</t>
  </si>
  <si>
    <t>Filter Edge</t>
  </si>
  <si>
    <t>Numeric Position</t>
  </si>
  <si>
    <t>Valid End InterfaceDefs</t>
  </si>
  <si>
    <t>UserEdgeDefInterfaceDef</t>
  </si>
  <si>
    <t>Name 1 (EdgeDef)</t>
  </si>
  <si>
    <t>SPFClassDefDefaultEdgeDef</t>
  </si>
  <si>
    <t>Name 2 (EdgeDef)</t>
  </si>
  <si>
    <t>DirectedGraphDef</t>
  </si>
  <si>
    <t>Graph Definition</t>
  </si>
  <si>
    <t>InterfaceDef (GraphDef Rel)</t>
  </si>
  <si>
    <t>GraphDefInterfaceDef</t>
  </si>
  <si>
    <t>ViewDef</t>
  </si>
  <si>
    <t>GraphDefnUID</t>
  </si>
  <si>
    <t>ViewPropsDefn</t>
  </si>
  <si>
    <t>LastLocalID</t>
  </si>
  <si>
    <t>IsComparisonViewDef</t>
  </si>
  <si>
    <t>InterfaceDef (ViewDef Rel)</t>
  </si>
  <si>
    <t>NeedsAnalysis</t>
  </si>
  <si>
    <t>ViewDefInterfaceDef</t>
  </si>
  <si>
    <t>SmartPlant Solution Templates - Map</t>
  </si>
  <si>
    <t>Map From</t>
  </si>
  <si>
    <t>Map To</t>
  </si>
  <si>
    <t>Map Type</t>
  </si>
  <si>
    <t>Additional Info</t>
  </si>
  <si>
    <t>Macro Function</t>
  </si>
  <si>
    <t>Argument 1</t>
  </si>
  <si>
    <t>Argument 2</t>
  </si>
  <si>
    <t>Argument 3</t>
  </si>
  <si>
    <t>Object</t>
  </si>
  <si>
    <t>IObject,ICompSchema,ISchemaObj</t>
  </si>
  <si>
    <t>IObject,IInterfaceDef,IInterfaceRole,ISchemaObj,IPropCategory,IEnumMetadata,IInterfaceDefExt</t>
  </si>
  <si>
    <t>Rel</t>
  </si>
  <si>
    <t>IObject,IClassDef,ISchemaObj</t>
  </si>
  <si>
    <t>IObject,IEnumEnum,IEnumListType,IPropertyType,ISchemaObj</t>
  </si>
  <si>
    <t>IObject,IEnumEnum,ISchemaObj</t>
  </si>
  <si>
    <t>IObject,IPropertyDef,ISchemaObj,IPropertyDefExt</t>
  </si>
  <si>
    <t>IObject,IRel,IRelDef,IRelDef2,ISchemaObj,ISPFRelDefExt</t>
  </si>
  <si>
    <t>IObject,IEdgeDef,IEdgeDef2,ISimpleCriteria,IPositionCriteria,ISchemaObj,ISPFEdgeDefExt</t>
  </si>
  <si>
    <t>IObject,IDirectedGraphDef,ISchemaObj</t>
  </si>
  <si>
    <t>Property</t>
  </si>
  <si>
    <t>ISchemaObj</t>
  </si>
  <si>
    <t>Solutions</t>
  </si>
  <si>
    <t>SpecializationValue</t>
  </si>
  <si>
    <t>IInterfaceRole</t>
  </si>
  <si>
    <t>IRel</t>
  </si>
  <si>
    <t>Name1</t>
  </si>
  <si>
    <t>NLFProperty</t>
  </si>
  <si>
    <t>Name2</t>
  </si>
  <si>
    <t>DefUID</t>
  </si>
  <si>
    <t>SPFIsConfigurationControlled</t>
  </si>
  <si>
    <t>ISPFClassDefExt</t>
  </si>
  <si>
    <t>SPFUniqueKeyDef</t>
  </si>
  <si>
    <t>ForeignKeyRel</t>
  </si>
  <si>
    <t>21,ModelDef</t>
  </si>
  <si>
    <t>21,CompSchema</t>
  </si>
  <si>
    <t>12,InterfaceDef</t>
  </si>
  <si>
    <t>21,ClassFactoryDef</t>
  </si>
  <si>
    <t>IEnumEnum</t>
  </si>
  <si>
    <t>IEnumListType</t>
  </si>
  <si>
    <t>21,InterfaceDef</t>
  </si>
  <si>
    <t>12,IPropertyType</t>
  </si>
  <si>
    <t>IPropertyDef</t>
  </si>
  <si>
    <t>SpecOfUID</t>
  </si>
  <si>
    <t>IRelDef</t>
  </si>
  <si>
    <t>Role1</t>
  </si>
  <si>
    <t>IsAbstract</t>
  </si>
  <si>
    <t>LinkInterfaces</t>
  </si>
  <si>
    <t>Role1DisplayName</t>
  </si>
  <si>
    <t>Min1</t>
  </si>
  <si>
    <t>Max1</t>
  </si>
  <si>
    <t>Role2</t>
  </si>
  <si>
    <t>Role2DisplayName</t>
  </si>
  <si>
    <t>Min2</t>
  </si>
  <si>
    <t>Max2</t>
  </si>
  <si>
    <t>FilterEdge12</t>
  </si>
  <si>
    <t>IRelDef2</t>
  </si>
  <si>
    <t>FilterEdge21</t>
  </si>
  <si>
    <t>Delete12</t>
  </si>
  <si>
    <t>Delete21</t>
  </si>
  <si>
    <t>ISPFRelDefExt</t>
  </si>
  <si>
    <t>ISPFRelDefMapsTo</t>
  </si>
  <si>
    <t>StartInterfaceName</t>
  </si>
  <si>
    <t>IEdgeDef</t>
  </si>
  <si>
    <t>PathDefn</t>
  </si>
  <si>
    <t>RelCount</t>
  </si>
  <si>
    <t>PropComparisons</t>
  </si>
  <si>
    <t>ISimpleCriteria</t>
  </si>
  <si>
    <t>FilterEdge</t>
  </si>
  <si>
    <t>IEdgeDef2</t>
  </si>
  <si>
    <t>NumericPosition</t>
  </si>
  <si>
    <t>IPositionCriteria</t>
  </si>
  <si>
    <t>ValidEndInterfaceDefUIDs</t>
  </si>
  <si>
    <t>GraphDefn</t>
  </si>
  <si>
    <t>IDirectedGraphDef</t>
  </si>
  <si>
    <t>IViewDef</t>
  </si>
  <si>
    <t>Area</t>
  </si>
  <si>
    <t>Unit</t>
  </si>
  <si>
    <t>AreaDocument</t>
  </si>
  <si>
    <t>UnitDocument</t>
  </si>
  <si>
    <t>Document Name</t>
  </si>
  <si>
    <t>Primary Classification Name</t>
  </si>
  <si>
    <t>Project Number</t>
  </si>
  <si>
    <t>Book Reference Codes</t>
  </si>
  <si>
    <t>Revision Scheme</t>
  </si>
  <si>
    <t>Major Revision</t>
  </si>
  <si>
    <t>Minor Revision</t>
  </si>
  <si>
    <t>Revision State</t>
  </si>
  <si>
    <t>Document State</t>
  </si>
  <si>
    <t>Data Access Group</t>
  </si>
  <si>
    <t>SPFDocVersion</t>
  </si>
  <si>
    <t>SPFIsDocVersionSuperseded</t>
  </si>
  <si>
    <t>Document types Classification</t>
  </si>
  <si>
    <t>Attach to Document</t>
  </si>
  <si>
    <t>SPFPrimaryClassification</t>
  </si>
  <si>
    <t>21,IPropertyType</t>
  </si>
  <si>
    <t>SPFClassifiedLevel1</t>
  </si>
  <si>
    <t>SPFDocRevisionRevisionScheme</t>
  </si>
  <si>
    <t>SPFItemOwningGroup</t>
  </si>
  <si>
    <t>SPFFileComposition</t>
  </si>
  <si>
    <t>SPFDocState</t>
  </si>
  <si>
    <t xml:space="preserve">ISPFDocument </t>
  </si>
  <si>
    <t>SPFRevState</t>
  </si>
  <si>
    <t>SPFMajorRevision</t>
  </si>
  <si>
    <t>SPFMinorRevision</t>
  </si>
  <si>
    <t>IObject,ISPFDocumentMaster,ISPFDocument,ISPFDocumentObject,IEngineeringDocMaster,ISPFSubscribableItem,ISPFClassifiedItem</t>
  </si>
  <si>
    <t>ISPFDocumentVersion</t>
  </si>
  <si>
    <t>Engineering Documents Master</t>
  </si>
  <si>
    <t>Engineering Documents Revision</t>
  </si>
  <si>
    <t>SPXEngineeringDocRevision</t>
  </si>
  <si>
    <t>Engineering Documents Version</t>
  </si>
  <si>
    <t>SPXEngineeringDocVersion</t>
  </si>
  <si>
    <t>IObject,ISPFDocumentVersion,ISPFNonPublishedDocVersion,ISPFOwnedObj,ISPFDocumentObject,ISPFFileComposition,ISPFExportableItem,ISPFSubscribableItem,IEngineeringDocVersion</t>
  </si>
  <si>
    <t>ISPFDocumentRevision</t>
  </si>
  <si>
    <t>IObject,ISPFWorkflowItem,IApprovedDocRevision,ISPFDocumentObject,ISPFNonPublishedDocRevision,IEngineeringDocRevision,ISPFSubscribableItem,ISPFDocumentRevision</t>
  </si>
  <si>
    <t>SPFExternalRevision</t>
  </si>
  <si>
    <t>External Revision</t>
  </si>
  <si>
    <t>SPFIsDocVersionCheckedOut</t>
  </si>
  <si>
    <t>SPFRevExclusivelyRevisedToSubConfig</t>
  </si>
  <si>
    <t>SPFRevUnderChangeInSameConfig</t>
  </si>
  <si>
    <t>SPFActiveWorkflowCount</t>
  </si>
  <si>
    <t>SPFActiveWorkflowStatus</t>
  </si>
  <si>
    <t xml:space="preserve">ISPFWorkflowItem </t>
  </si>
  <si>
    <t>SPFDocumentRevisions</t>
  </si>
  <si>
    <t>Master (Rel)</t>
  </si>
  <si>
    <t>SPFRevisionVersions</t>
  </si>
  <si>
    <t>Revision (Rel)</t>
  </si>
  <si>
    <t>Revised To SubConfig ?</t>
  </si>
  <si>
    <t>Change In Same Config ?</t>
  </si>
  <si>
    <t>Workflow Count</t>
  </si>
  <si>
    <t>Workflow Status</t>
  </si>
  <si>
    <t>Superseded ?</t>
  </si>
  <si>
    <t>CheckedOut ?</t>
  </si>
  <si>
    <t>Version number</t>
  </si>
  <si>
    <t>File(s)</t>
  </si>
  <si>
    <t>Server Vault</t>
  </si>
  <si>
    <t>Edit ?</t>
  </si>
  <si>
    <t>View ?</t>
  </si>
  <si>
    <t>Local Directory</t>
  </si>
  <si>
    <t>Local File Name</t>
  </si>
  <si>
    <t>Upload Instruction</t>
  </si>
  <si>
    <t>Remove Local File ?</t>
  </si>
  <si>
    <t>IObject,ISPFRefFile,ISPFAlternateRenditionComposition,ISPFOwnedObj,ISPFBusinessFile,ISPFGraphicsMapComposition,ISPFArchiveFile,ISPFFTRItem,ISPFSubscribableItem,ISPFMarkupComposition,ISPFFile,ISPFRefFileComposition,ISPFDesignFile</t>
  </si>
  <si>
    <t>SPFDesignFile</t>
  </si>
  <si>
    <t>SPFLocalFileName</t>
  </si>
  <si>
    <t>SPFLocalDirectory</t>
  </si>
  <si>
    <t>SPFEditInd</t>
  </si>
  <si>
    <t>SPFViewInd</t>
  </si>
  <si>
    <t>ISPFFile</t>
  </si>
  <si>
    <t>ISPFBusinessFile</t>
  </si>
  <si>
    <t>SPFFileVault</t>
  </si>
  <si>
    <t>Version (Rel)</t>
  </si>
  <si>
    <t>SPFUploadInstruction</t>
  </si>
  <si>
    <t>ISPFUploadInstruction,IRefObject</t>
  </si>
  <si>
    <t>FilePath</t>
  </si>
  <si>
    <t>ISPFUploadInstruction</t>
  </si>
  <si>
    <t>RemoveLocalFileInd</t>
  </si>
  <si>
    <t>RefClass</t>
  </si>
  <si>
    <t>IRefObject</t>
  </si>
  <si>
    <t>File Path</t>
  </si>
  <si>
    <t>SPFTargetWorkflowName</t>
  </si>
  <si>
    <t>ISPFWorkflowItem</t>
  </si>
  <si>
    <t>Target Workflow Name</t>
  </si>
  <si>
    <t>Issue Date</t>
  </si>
  <si>
    <t>Upload ?</t>
  </si>
  <si>
    <t>ForeignKeyObject</t>
  </si>
  <si>
    <t>TAG(s)</t>
  </si>
  <si>
    <t>TagDocument</t>
  </si>
  <si>
    <t>ForeignKeyObjectProperty</t>
  </si>
  <si>
    <t>TRUE/FALSE</t>
  </si>
  <si>
    <t>SPO</t>
  </si>
  <si>
    <t>Select the solution for which you want to generate load files. There are differences in schema, admin and data among the solutions. Invididual items are marked with the solution(s) it applies to.</t>
  </si>
  <si>
    <t>Solutions List</t>
  </si>
  <si>
    <t>Scopes</t>
  </si>
  <si>
    <t>Formats</t>
  </si>
  <si>
    <t>Boolean</t>
  </si>
  <si>
    <t>Admin</t>
  </si>
  <si>
    <t>Select the scope of these files. This is important primarily for schema files to set the CompSchema and Scope attributes on the container.</t>
  </si>
  <si>
    <t>Schema</t>
  </si>
  <si>
    <t>XML</t>
  </si>
  <si>
    <t>Select the load file format to be generated.</t>
  </si>
  <si>
    <t>To be used with Schema Editor. If true, a single file will be generated and the container IDs will be left off of IObject.</t>
  </si>
  <si>
    <t>ISPFDocumentMaster</t>
  </si>
  <si>
    <t>Old Document No</t>
  </si>
  <si>
    <t>ISPFDocumentMaster_OldDocumentNo</t>
  </si>
  <si>
    <t>Section</t>
  </si>
  <si>
    <t>SectionDocument</t>
  </si>
  <si>
    <t>DOCUMENT TYPE</t>
  </si>
  <si>
    <t>AREA CODE</t>
  </si>
  <si>
    <t>DOCUMENT TITLE</t>
  </si>
  <si>
    <t>MAJOR REVISION</t>
  </si>
  <si>
    <t>MINOR REVISION</t>
  </si>
  <si>
    <t>REVISION SCHEME</t>
  </si>
  <si>
    <t>DocumentAreaCode</t>
  </si>
  <si>
    <t>PLANT</t>
  </si>
  <si>
    <t>PO NUMBER</t>
  </si>
  <si>
    <t>UNIT CODE</t>
  </si>
  <si>
    <t>PEDMS Project - Transmittal Macro Load File</t>
  </si>
  <si>
    <t>SHEET NUMBER</t>
  </si>
  <si>
    <t>MDR NUMBER</t>
  </si>
  <si>
    <t>Incoming Transmittal</t>
  </si>
  <si>
    <t>Incoming Transmittal Section</t>
  </si>
  <si>
    <t>SPFXmtlSectionPurpose</t>
  </si>
  <si>
    <t>CONFIDENTIALITY</t>
  </si>
  <si>
    <t>DocumentOrganisation</t>
  </si>
  <si>
    <t>DocumentRecipient</t>
  </si>
  <si>
    <t>OTHER DOCUMENT NUMBER</t>
  </si>
  <si>
    <t>REMARK</t>
  </si>
  <si>
    <t>REMAKRS2</t>
  </si>
  <si>
    <t>TRANSMITTAL PURPOSE</t>
  </si>
  <si>
    <t>REV STATUS</t>
  </si>
  <si>
    <t>Smartplant Foundation - Incoming Transmittal</t>
  </si>
  <si>
    <t>Smartplant Foundation - Incoming Transmittal Section</t>
  </si>
  <si>
    <t>SPXIncomingTransmittal</t>
  </si>
  <si>
    <t>SPXIncomingTransmittalSection</t>
  </si>
  <si>
    <t>IObject,IIncomingTransmittalSection,ISPFOwnedObj,ISPFSubscribableItem,ISPFTransmittalSection,ISPFFileComposition</t>
  </si>
  <si>
    <t>SPFXmtlIssueState</t>
  </si>
  <si>
    <t>ISPFTransmittal</t>
  </si>
  <si>
    <t>SPFXmtlReasonForIssue</t>
  </si>
  <si>
    <t>ISPFTransmittalIssue</t>
  </si>
  <si>
    <t>SPFTransmittalSection</t>
  </si>
  <si>
    <t>ISPFTransmittalSection</t>
  </si>
  <si>
    <t>SPFXmtlSectionDoc</t>
  </si>
  <si>
    <t>IncomingXMTLDocumentType</t>
  </si>
  <si>
    <t>SPFLocalHostName</t>
  </si>
  <si>
    <t>XMTL (Rel)</t>
  </si>
  <si>
    <t>To:</t>
  </si>
  <si>
    <t>From:</t>
  </si>
  <si>
    <t>XMTLRecipient</t>
  </si>
  <si>
    <t>XMTLProject</t>
  </si>
  <si>
    <t>PACKAGES</t>
  </si>
  <si>
    <t>DocumentProjectPackage</t>
  </si>
  <si>
    <t>DISCIPLINES</t>
  </si>
  <si>
    <t>ORIGINATING ORGANISATIONS</t>
  </si>
  <si>
    <t>RECEIVING ORGANISATIONS</t>
  </si>
  <si>
    <t>XMTLOrganisation</t>
  </si>
  <si>
    <t>ISPFDocument</t>
  </si>
  <si>
    <t>SPFDocCategory</t>
  </si>
  <si>
    <t>SPFDocType</t>
  </si>
  <si>
    <t>DOCUMENT CLASS</t>
  </si>
  <si>
    <t>RESPONSE DUE DATE</t>
  </si>
  <si>
    <t>Handover</t>
  </si>
  <si>
    <t>SPDC</t>
  </si>
  <si>
    <t>SPLS</t>
  </si>
  <si>
    <t>NLF</t>
  </si>
  <si>
    <t>SupressedMessages?(Set to false, if you don’t want messages popping up)</t>
  </si>
  <si>
    <t>SPVTL</t>
  </si>
  <si>
    <t>Workflow</t>
  </si>
  <si>
    <t>SPPI</t>
  </si>
  <si>
    <t>Data</t>
  </si>
  <si>
    <t>VTL</t>
  </si>
  <si>
    <t>DocumentUnit</t>
  </si>
  <si>
    <t>SPFAttachWorkflowInstruction</t>
  </si>
  <si>
    <t>WF Object Class</t>
  </si>
  <si>
    <t>WF Object UID</t>
  </si>
  <si>
    <t>WF Object Name</t>
  </si>
  <si>
    <t>SPFWorkflowTemplateUID</t>
  </si>
  <si>
    <t>IObject,IRefObject,ISPFAttachWorkflowInstruction,Iinstruction</t>
  </si>
  <si>
    <t>RefUID</t>
  </si>
  <si>
    <t>RefName</t>
  </si>
  <si>
    <t>ISPFAttachWorkflowInstruction</t>
  </si>
  <si>
    <t>DocumentDDM</t>
  </si>
  <si>
    <t>Rev Remarks</t>
  </si>
  <si>
    <t>DOCUMENT CATEGORY</t>
  </si>
  <si>
    <t>IEDMS_DMS</t>
  </si>
  <si>
    <t>EDMS_TransmittalDocIssueDate</t>
  </si>
  <si>
    <t>IEDMS_DMS_Rev</t>
  </si>
  <si>
    <t>EDMS_Confidentiality</t>
  </si>
  <si>
    <t>EDMS_RevTransmittalIssuedStatus</t>
  </si>
  <si>
    <t>EDMS_PONumber</t>
  </si>
  <si>
    <t>EDMS_SheetNumber</t>
  </si>
  <si>
    <t>EDMS_MDRNumber</t>
  </si>
  <si>
    <t>EDMS_Remarks</t>
  </si>
  <si>
    <t>EDMS_XMTLTo</t>
  </si>
  <si>
    <t>IEDMS_XMTL</t>
  </si>
  <si>
    <t>EDMS_XMTLFrom</t>
  </si>
  <si>
    <t>EDMS_XMTLCC</t>
  </si>
  <si>
    <t>EDMS_XMTLDate</t>
  </si>
  <si>
    <t>EDMS_XMTLProjectName</t>
  </si>
  <si>
    <t>EDMS_XMTLProjectNo</t>
  </si>
  <si>
    <t>EDMS_XMTLSubject</t>
  </si>
  <si>
    <t>EDMS_XMTLPurpose</t>
  </si>
  <si>
    <t>EDMS_XMTLRemarks</t>
  </si>
  <si>
    <t>EDMS_XMTLTransmittedByName</t>
  </si>
  <si>
    <t>EDMS_XMTLTransmittedByDesignation</t>
  </si>
  <si>
    <t>EDMS_XMTLAcknowledgedByName</t>
  </si>
  <si>
    <t>EDMS_XMTLAcknowledgedByDesignation</t>
  </si>
  <si>
    <t>IObject,IIncomingTransmittal,IEDMS_XMTL,ISPFClassifiedItem,ISPFExportableItem,ISPFFTRItem,ISPFFileComposition,ISPFOwnedObj,ISPFSectionedTransmittal,ISPFSubscribableItem,ISPFSupportItem,ISPFTransmittal,ISPFTransmittalIssue,ISPFWorkflowItem</t>
  </si>
  <si>
    <t>EDMS_XMTLOtherTransmittalNo</t>
  </si>
  <si>
    <t>EDMS_DocumentClass</t>
  </si>
  <si>
    <t>EDMS_DueDate</t>
  </si>
  <si>
    <t>EDMS_Remarks_Rev</t>
  </si>
  <si>
    <t>EDMS_DocumentCategory</t>
  </si>
  <si>
    <t>EDMS_OtherDocumentNumber</t>
  </si>
  <si>
    <t>Project - Transmittal Load Files Macro</t>
  </si>
  <si>
    <t>Transmittal Load Files Macro</t>
  </si>
  <si>
    <t>XMTLDiscipline</t>
  </si>
  <si>
    <t>EDMS_XMTLReceivedDate</t>
  </si>
  <si>
    <t>SPFRevIssueDate</t>
  </si>
  <si>
    <t>DocumentRevisionEDMSRevStatus</t>
  </si>
  <si>
    <t>No.</t>
  </si>
  <si>
    <t>File Name</t>
  </si>
  <si>
    <t>Rev</t>
  </si>
  <si>
    <t>DOCUMENT RETURN CODE</t>
  </si>
  <si>
    <t>EDMS_ActualDeliveryDate</t>
  </si>
  <si>
    <t>Actual Delivery Date</t>
  </si>
  <si>
    <t>EDMS_XMTLIssuedDate</t>
  </si>
  <si>
    <t>EDMS_XMTLReceiptDate</t>
  </si>
  <si>
    <t>Document Type</t>
  </si>
  <si>
    <t>Company’s Document Name</t>
  </si>
  <si>
    <t>Contractor’s Document Name</t>
  </si>
  <si>
    <t>EDMS_RevTransmittalResponseStatus</t>
  </si>
  <si>
    <r>
      <rPr>
        <sz val="12"/>
        <color theme="1"/>
        <rFont val="Times New Roman"/>
        <family val="1"/>
      </rPr>
      <t>BINH SON REFINING &amp; PETROCHEMICAL CO., LTD</t>
    </r>
    <r>
      <rPr>
        <b/>
        <sz val="12"/>
        <color theme="1"/>
        <rFont val="Times New Roman"/>
        <family val="1"/>
      </rPr>
      <t xml:space="preserve">
DUNG QUAT REFINERY UPGRADING AND 
EXPANSION PROJECT MANAGEMENT UNIT</t>
    </r>
  </si>
  <si>
    <t>DOCUMENT/DRAWING TRANSMITTAL</t>
  </si>
  <si>
    <t>Issue date</t>
  </si>
  <si>
    <t>Description/Title</t>
  </si>
  <si>
    <t>Doc. Class</t>
  </si>
  <si>
    <t>Transmittal Number:</t>
  </si>
  <si>
    <t>Date:</t>
  </si>
  <si>
    <t>Pages:</t>
  </si>
  <si>
    <t>Phone:</t>
  </si>
  <si>
    <t>Fax:</t>
  </si>
  <si>
    <t>Cc:</t>
  </si>
  <si>
    <t>Y/Ref</t>
  </si>
  <si>
    <t>Project Code</t>
  </si>
  <si>
    <t>Material Code</t>
  </si>
  <si>
    <t>Drawing Code</t>
  </si>
  <si>
    <t>Work Code</t>
  </si>
  <si>
    <t>Serial Number</t>
  </si>
  <si>
    <t>Equipment Tag Number</t>
  </si>
  <si>
    <t>Document/ Drawing No</t>
  </si>
  <si>
    <t>Department Code</t>
  </si>
  <si>
    <t>AREA</t>
  </si>
  <si>
    <t>UNIT</t>
  </si>
  <si>
    <t xml:space="preserve"> TRANSMITTAL DOCUMENT'S FILES INDEX</t>
  </si>
  <si>
    <t>DocumentMaterialCode</t>
  </si>
  <si>
    <t>DocumentWorkCode</t>
  </si>
  <si>
    <t>DocumentDrawingCode</t>
  </si>
  <si>
    <t>EDMS_DepartmentCode</t>
  </si>
  <si>
    <t>EDMS_EquipmentTagNo</t>
  </si>
  <si>
    <t>DocumentProjectCode</t>
  </si>
  <si>
    <t>..\..\eTRM File\</t>
  </si>
  <si>
    <t>Due Date:</t>
  </si>
  <si>
    <t>Purpose</t>
  </si>
  <si>
    <t>EDMS_PlannedReturnDate</t>
  </si>
  <si>
    <t>Contractor Ref No</t>
  </si>
  <si>
    <t>Discipline</t>
  </si>
  <si>
    <t>Group</t>
  </si>
  <si>
    <t>MR 
Sequence No</t>
  </si>
  <si>
    <t>EDMS_Rev_ContractorDocumentNumber</t>
  </si>
  <si>
    <t>EDMS_MaterialRequisitionSeqNo</t>
  </si>
  <si>
    <t>EDMS_DocumentSeqNo</t>
  </si>
  <si>
    <t>Is Rev Duplicated With Other Project?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</si>
</sst>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quot;* #,##0_-;\-&quot;£&quot;* #,##0_-;_-&quot;£&quot;* &quot;-&quot;_-;_-@_-"/>
    <numFmt numFmtId="165" formatCode="_-* #,##0_-;\-* #,##0_-;_-* &quot;-&quot;_-;_-@_-"/>
    <numFmt numFmtId="166" formatCode="_-&quot;£&quot;* #,##0.00_-;\-&quot;£&quot;* #,##0.00_-;_-&quot;£&quot;* &quot;-&quot;??_-;_-@_-"/>
    <numFmt numFmtId="167" formatCode="_-* #,##0.00_-;\-* #,##0.00_-;_-* &quot;-&quot;??_-;_-@_-"/>
    <numFmt numFmtId="168" formatCode="[$-409]d\-mmm\-yy;@"/>
  </numFmts>
  <fonts count="14" x14ac:knownFonts="1">
    <font>
      <sz val="11"/>
      <color theme="1"/>
      <name val="Calibri"/>
      <family val="2"/>
      <scheme val="minor"/>
    </font>
    <font>
      <sz val="10"/>
      <name val="Arial"/>
      <family val="2"/>
    </font>
    <font>
      <b/>
      <sz val="12"/>
      <color theme="1"/>
      <name val="Times New Roman"/>
      <family val="1"/>
    </font>
    <font>
      <sz val="12"/>
      <color theme="1"/>
      <name val="Times New Roman"/>
      <family val="1"/>
    </font>
    <font>
      <sz val="11"/>
      <color theme="1"/>
      <name val="Times New Roman"/>
      <family val="1"/>
    </font>
    <font>
      <sz val="11"/>
      <name val="Calibri"/>
      <family val="2"/>
      <scheme val="minor"/>
    </font>
    <font>
      <b/>
      <sz val="14"/>
      <color theme="1"/>
      <name val="Times New Roman"/>
      <family val="1"/>
    </font>
    <font>
      <b/>
      <sz val="10"/>
      <color theme="1"/>
      <name val="Times New Roman"/>
      <family val="1"/>
    </font>
    <font>
      <sz val="10"/>
      <color theme="1"/>
      <name val="Times New Roman"/>
      <family val="1"/>
    </font>
    <font>
      <sz val="11"/>
      <color indexed="9"/>
      <name val="Calibri"/>
      <family val="2"/>
      <scheme val="minor"/>
    </font>
    <font>
      <sz val="11"/>
      <color theme="1"/>
      <name val="Calibri"/>
      <family val="2"/>
      <scheme val="minor"/>
    </font>
    <font>
      <sz val="10"/>
      <color rgb="FF000000"/>
      <name val="Arial"/>
      <family val="2"/>
    </font>
    <font>
      <sz val="10"/>
      <name val="Times New Roman"/>
      <family val="1"/>
    </font>
    <font>
      <b/>
      <sz val="9"/>
      <color indexed="81"/>
      <name val="Tahoma"/>
      <family val="2"/>
    </font>
  </fonts>
  <fills count="5">
    <fill>
      <patternFill patternType="none"/>
    </fill>
    <fill>
      <patternFill patternType="gray125"/>
    </fill>
    <fill>
      <patternFill patternType="solid">
        <fgColor indexed="18"/>
        <bgColor indexed="64"/>
      </patternFill>
    </fill>
    <fill>
      <patternFill patternType="solid">
        <fgColor theme="0"/>
        <bgColor indexed="64"/>
      </patternFill>
    </fill>
    <fill>
      <patternFill patternType="solid">
        <fgColor rgb="FFFF0000"/>
        <bgColor indexed="64"/>
      </patternFill>
    </fill>
  </fills>
  <borders count="16">
    <border>
      <left/>
      <right/>
      <top/>
      <bottom/>
      <diagonal/>
    </border>
    <border>
      <left style="thin">
        <color auto="1"/>
      </left>
      <right style="thin">
        <color auto="1"/>
      </right>
      <top style="thin">
        <color auto="1"/>
      </top>
      <bottom style="thin">
        <color auto="1"/>
      </bottom>
      <diagonal/>
    </border>
    <border>
      <left/>
      <right/>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style="medium">
        <color auto="1"/>
      </top>
      <bottom/>
      <diagonal/>
    </border>
  </borders>
  <cellStyleXfs count="7">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0" fillId="0" borderId="0"/>
  </cellStyleXfs>
  <cellXfs count="95">
    <xf numFmtId="0" fontId="0" fillId="0" borderId="0" xfId="0"/>
    <xf numFmtId="0" fontId="0" fillId="0" borderId="0" xfId="0" applyBorder="1"/>
    <xf numFmtId="0" fontId="0" fillId="0" borderId="0" xfId="0"/>
    <xf numFmtId="0" fontId="0" fillId="0" borderId="0" xfId="0"/>
    <xf numFmtId="0" fontId="8" fillId="0" borderId="0" xfId="0" applyFont="1"/>
    <xf numFmtId="0" fontId="0" fillId="0" borderId="0" xfId="0" applyFill="1"/>
    <xf numFmtId="0" fontId="3" fillId="0" borderId="0" xfId="0" applyFont="1" applyBorder="1" applyAlignment="1" applyProtection="1">
      <alignment vertical="center"/>
      <protection locked="0"/>
    </xf>
    <xf numFmtId="0" fontId="3" fillId="0" borderId="0" xfId="0" applyFont="1" applyBorder="1" applyAlignment="1" applyProtection="1">
      <alignment horizontal="right" vertical="center"/>
      <protection locked="0"/>
    </xf>
    <xf numFmtId="0" fontId="0" fillId="0" borderId="0" xfId="0" applyBorder="1" applyAlignment="1">
      <alignment vertical="center"/>
    </xf>
    <xf numFmtId="0" fontId="0" fillId="0" borderId="0" xfId="0" applyFill="1" applyBorder="1"/>
    <xf numFmtId="0" fontId="9" fillId="2" borderId="0" xfId="0" applyFont="1" applyFill="1"/>
    <xf numFmtId="0" fontId="9" fillId="2" borderId="0" xfId="0" applyFont="1" applyFill="1" applyAlignment="1">
      <alignment vertical="top"/>
    </xf>
    <xf numFmtId="0" fontId="0" fillId="0" borderId="0" xfId="0" applyAlignment="1">
      <alignment vertical="top"/>
    </xf>
    <xf numFmtId="0" fontId="9" fillId="2" borderId="1" xfId="0" applyFont="1" applyFill="1" applyBorder="1" applyAlignment="1">
      <alignment vertical="top"/>
    </xf>
    <xf numFmtId="0" fontId="0" fillId="0" borderId="1" xfId="0" applyFill="1" applyBorder="1" applyAlignment="1">
      <alignment horizontal="left" vertical="top"/>
    </xf>
    <xf numFmtId="0" fontId="5" fillId="0" borderId="1" xfId="6" applyFont="1" applyFill="1" applyBorder="1" applyAlignment="1">
      <alignment horizontal="left" vertical="top" wrapText="1"/>
    </xf>
    <xf numFmtId="0" fontId="5" fillId="3" borderId="1" xfId="6" applyFont="1" applyFill="1" applyBorder="1" applyAlignment="1">
      <alignment horizontal="left" vertical="top" wrapText="1"/>
    </xf>
    <xf numFmtId="0" fontId="5" fillId="3" borderId="1" xfId="6" applyFont="1" applyFill="1" applyBorder="1" applyAlignment="1">
      <alignment vertical="top" wrapText="1"/>
    </xf>
    <xf numFmtId="0" fontId="0" fillId="0" borderId="0" xfId="0" applyFill="1" applyAlignment="1">
      <alignment horizontal="left" vertical="top"/>
    </xf>
    <xf numFmtId="0" fontId="4" fillId="0" borderId="2" xfId="0" applyFont="1" applyBorder="1" applyAlignment="1" applyProtection="1">
      <protection locked="0"/>
    </xf>
    <xf numFmtId="0" fontId="7" fillId="0" borderId="1" xfId="0" applyFont="1" applyBorder="1" applyAlignment="1" applyProtection="1">
      <alignment horizontal="center" vertical="center"/>
      <protection locked="0"/>
    </xf>
    <xf numFmtId="0" fontId="8" fillId="0" borderId="1" xfId="0" applyFont="1" applyBorder="1" applyAlignment="1" applyProtection="1">
      <alignment horizontal="center" vertical="center"/>
      <protection locked="0"/>
    </xf>
    <xf numFmtId="0" fontId="3" fillId="0" borderId="3" xfId="0" applyFont="1" applyBorder="1"/>
    <xf numFmtId="0" fontId="2" fillId="0" borderId="4" xfId="0" applyFont="1" applyFill="1" applyBorder="1" applyAlignment="1" applyProtection="1">
      <alignment vertical="center"/>
      <protection locked="0"/>
    </xf>
    <xf numFmtId="0" fontId="2" fillId="0" borderId="4" xfId="0" applyFont="1" applyBorder="1" applyAlignment="1" applyProtection="1">
      <alignment vertical="center"/>
      <protection locked="0"/>
    </xf>
    <xf numFmtId="0" fontId="2" fillId="0" borderId="5" xfId="0" applyFont="1" applyBorder="1" applyAlignment="1" applyProtection="1">
      <alignment vertical="center"/>
      <protection locked="0"/>
    </xf>
    <xf numFmtId="0" fontId="3" fillId="0" borderId="1" xfId="0" applyFont="1" applyFill="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2" fillId="0" borderId="1" xfId="0" applyFont="1" applyFill="1" applyBorder="1" applyAlignment="1" applyProtection="1">
      <alignment horizontal="left" vertical="center"/>
      <protection locked="0"/>
    </xf>
    <xf numFmtId="49" fontId="0" fillId="0" borderId="0" xfId="0" applyNumberFormat="1"/>
    <xf numFmtId="49" fontId="0" fillId="0" borderId="0" xfId="0" applyNumberFormat="1" applyBorder="1"/>
    <xf numFmtId="49" fontId="0" fillId="0" borderId="0" xfId="0" applyNumberFormat="1" applyBorder="1" applyAlignment="1">
      <alignment vertical="center"/>
    </xf>
    <xf numFmtId="49" fontId="0" fillId="0" borderId="0" xfId="0" applyNumberFormat="1" applyFill="1"/>
    <xf numFmtId="49" fontId="7" fillId="0" borderId="1" xfId="0" applyNumberFormat="1" applyFont="1" applyBorder="1" applyAlignment="1" applyProtection="1">
      <alignment horizontal="center" vertical="center"/>
      <protection locked="0"/>
    </xf>
    <xf numFmtId="49" fontId="8" fillId="0" borderId="1" xfId="0" applyNumberFormat="1" applyFont="1" applyBorder="1" applyAlignment="1" applyProtection="1">
      <alignment horizontal="center" vertical="center" wrapText="1"/>
      <protection locked="0"/>
    </xf>
    <xf numFmtId="0" fontId="0" fillId="0" borderId="0" xfId="0" applyNumberFormat="1"/>
    <xf numFmtId="0" fontId="3" fillId="0" borderId="4" xfId="0" applyNumberFormat="1" applyFont="1" applyBorder="1"/>
    <xf numFmtId="0" fontId="7" fillId="0" borderId="1" xfId="0" applyNumberFormat="1" applyFont="1" applyBorder="1" applyAlignment="1" applyProtection="1">
      <alignment horizontal="center" vertical="center" wrapText="1"/>
      <protection locked="0"/>
    </xf>
    <xf numFmtId="0" fontId="2" fillId="0" borderId="6" xfId="0" applyFont="1" applyBorder="1" applyAlignment="1">
      <alignment horizontal="center" vertical="center"/>
    </xf>
    <xf numFmtId="0" fontId="0" fillId="4" borderId="0" xfId="0" applyFill="1" applyBorder="1"/>
    <xf numFmtId="0" fontId="9" fillId="2" borderId="0" xfId="0" applyFont="1" applyFill="1" applyAlignment="1"/>
    <xf numFmtId="0" fontId="0" fillId="0" borderId="0" xfId="0" applyAlignment="1"/>
    <xf numFmtId="0" fontId="5" fillId="3" borderId="1" xfId="6" applyFont="1" applyFill="1" applyBorder="1" applyAlignment="1">
      <alignment horizontal="left" vertical="top"/>
    </xf>
    <xf numFmtId="0" fontId="9" fillId="2" borderId="7" xfId="0" applyFont="1" applyFill="1" applyBorder="1" applyAlignment="1">
      <alignment vertical="top"/>
    </xf>
    <xf numFmtId="168" fontId="0" fillId="0" borderId="0" xfId="0" applyNumberFormat="1"/>
    <xf numFmtId="168" fontId="3" fillId="0" borderId="4" xfId="0" applyNumberFormat="1" applyFont="1" applyBorder="1" applyAlignment="1" applyProtection="1">
      <alignment horizontal="right" vertical="center"/>
      <protection locked="0"/>
    </xf>
    <xf numFmtId="168" fontId="7" fillId="0" borderId="1" xfId="0" applyNumberFormat="1" applyFont="1" applyBorder="1" applyAlignment="1" applyProtection="1">
      <alignment horizontal="center" vertical="center" wrapText="1"/>
      <protection locked="0"/>
    </xf>
    <xf numFmtId="168" fontId="3" fillId="0" borderId="1" xfId="0" applyNumberFormat="1" applyFont="1" applyBorder="1" applyAlignment="1">
      <alignment vertical="center"/>
    </xf>
    <xf numFmtId="49" fontId="7" fillId="0" borderId="1" xfId="0" applyNumberFormat="1"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5" fillId="0" borderId="0" xfId="0" applyFont="1" applyFill="1" applyBorder="1"/>
    <xf numFmtId="0" fontId="8" fillId="0" borderId="0" xfId="0" applyFont="1" applyBorder="1" applyAlignment="1" applyProtection="1">
      <alignment horizontal="center" vertical="center"/>
      <protection locked="0"/>
    </xf>
    <xf numFmtId="168" fontId="8" fillId="0" borderId="0" xfId="0" applyNumberFormat="1" applyFont="1" applyBorder="1" applyAlignment="1" applyProtection="1">
      <alignment horizontal="center" vertical="center" wrapText="1"/>
      <protection locked="0"/>
    </xf>
    <xf numFmtId="0" fontId="8" fillId="0" borderId="0" xfId="0" applyFont="1" applyBorder="1" applyAlignment="1" applyProtection="1">
      <alignment horizontal="center" vertical="center" wrapText="1"/>
      <protection locked="0"/>
    </xf>
    <xf numFmtId="49" fontId="8" fillId="0" borderId="0" xfId="0" applyNumberFormat="1" applyFont="1" applyBorder="1" applyAlignment="1" applyProtection="1">
      <alignment horizontal="center" vertical="center"/>
      <protection locked="0"/>
    </xf>
    <xf numFmtId="49" fontId="8" fillId="0" borderId="0" xfId="0" applyNumberFormat="1" applyFont="1" applyBorder="1" applyAlignment="1" applyProtection="1">
      <alignment horizontal="center" vertical="center" wrapText="1"/>
      <protection locked="0"/>
    </xf>
    <xf numFmtId="0" fontId="12" fillId="0" borderId="1" xfId="0" applyFont="1" applyFill="1" applyBorder="1" applyAlignment="1" applyProtection="1">
      <alignment vertical="center" wrapText="1"/>
      <protection locked="0"/>
    </xf>
    <xf numFmtId="0" fontId="8" fillId="0" borderId="0" xfId="0" applyFont="1" applyBorder="1"/>
    <xf numFmtId="0" fontId="8" fillId="0" borderId="1" xfId="0" applyFont="1" applyBorder="1"/>
    <xf numFmtId="0" fontId="8" fillId="0" borderId="1" xfId="0" applyNumberFormat="1" applyFont="1" applyBorder="1" applyAlignment="1" applyProtection="1">
      <alignment horizontal="center" vertical="center" wrapText="1"/>
      <protection locked="0"/>
    </xf>
    <xf numFmtId="168" fontId="8" fillId="0" borderId="1" xfId="0" applyNumberFormat="1" applyFont="1" applyBorder="1" applyAlignment="1" applyProtection="1">
      <alignment horizontal="center" vertical="center" wrapText="1"/>
      <protection locked="0"/>
    </xf>
    <xf numFmtId="49" fontId="8" fillId="0" borderId="1" xfId="0" applyNumberFormat="1" applyFont="1" applyBorder="1" applyAlignment="1" applyProtection="1">
      <alignment horizontal="center" vertical="center"/>
      <protection locked="0"/>
    </xf>
    <xf numFmtId="49" fontId="8" fillId="0" borderId="1" xfId="0" quotePrefix="1" applyNumberFormat="1" applyFont="1" applyBorder="1" applyAlignment="1" applyProtection="1">
      <alignment horizontal="center" vertical="center" wrapText="1"/>
      <protection locked="0"/>
    </xf>
    <xf numFmtId="49" fontId="8" fillId="0" borderId="1" xfId="0" applyNumberFormat="1" applyFont="1" applyBorder="1" applyAlignment="1" applyProtection="1">
      <alignment horizontal="left" vertical="center" wrapText="1"/>
      <protection locked="0"/>
    </xf>
    <xf numFmtId="49" fontId="8" fillId="0" borderId="1" xfId="0" quotePrefix="1" applyNumberFormat="1" applyFont="1" applyBorder="1" applyAlignment="1" applyProtection="1">
      <alignment horizontal="center" vertical="center"/>
      <protection locked="0"/>
    </xf>
    <xf numFmtId="0" fontId="9" fillId="2" borderId="1" xfId="0" applyFont="1" applyFill="1" applyBorder="1" applyAlignment="1">
      <alignment vertical="top" wrapText="1"/>
    </xf>
    <xf numFmtId="0" fontId="0" fillId="0" borderId="0" xfId="0"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8" fillId="0" borderId="3" xfId="0" applyFont="1" applyBorder="1" applyAlignment="1" applyProtection="1">
      <alignment horizontal="left" vertical="center" wrapText="1"/>
      <protection locked="0"/>
    </xf>
    <xf numFmtId="0" fontId="8" fillId="0" borderId="5" xfId="0" applyFont="1" applyBorder="1" applyAlignment="1" applyProtection="1">
      <alignment horizontal="left" vertical="center" wrapText="1"/>
      <protection locked="0"/>
    </xf>
    <xf numFmtId="49" fontId="3" fillId="0" borderId="3" xfId="0" applyNumberFormat="1" applyFont="1" applyBorder="1" applyAlignment="1" applyProtection="1">
      <alignment horizontal="left" vertical="center"/>
      <protection locked="0"/>
    </xf>
    <xf numFmtId="49" fontId="3" fillId="0" borderId="5" xfId="0" applyNumberFormat="1" applyFont="1" applyBorder="1" applyAlignment="1" applyProtection="1">
      <alignment horizontal="left" vertical="center"/>
      <protection locked="0"/>
    </xf>
    <xf numFmtId="0" fontId="7" fillId="0" borderId="1" xfId="0" applyFont="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8" xfId="0" applyFont="1" applyFill="1" applyBorder="1" applyAlignment="1" applyProtection="1">
      <alignment horizontal="left" vertical="center"/>
      <protection locked="0"/>
    </xf>
    <xf numFmtId="0" fontId="2" fillId="0" borderId="9" xfId="0" applyFont="1" applyFill="1" applyBorder="1" applyAlignment="1" applyProtection="1">
      <alignment horizontal="left" vertical="center"/>
      <protection locked="0"/>
    </xf>
    <xf numFmtId="0" fontId="2" fillId="0" borderId="10" xfId="0" applyFont="1" applyBorder="1" applyAlignment="1">
      <alignment horizontal="left" vertical="center" wrapText="1"/>
    </xf>
    <xf numFmtId="0" fontId="2" fillId="0" borderId="11" xfId="0" applyFont="1" applyBorder="1" applyAlignment="1">
      <alignment horizontal="left" vertical="center" wrapText="1"/>
    </xf>
    <xf numFmtId="0" fontId="2" fillId="0" borderId="12" xfId="0" applyFont="1" applyBorder="1" applyAlignment="1">
      <alignment horizontal="left" vertical="center" wrapText="1"/>
    </xf>
    <xf numFmtId="0" fontId="2" fillId="0" borderId="13" xfId="0" applyFont="1" applyBorder="1" applyAlignment="1">
      <alignment horizontal="left" vertical="center" wrapText="1"/>
    </xf>
    <xf numFmtId="0" fontId="2" fillId="0" borderId="6" xfId="0" applyFont="1" applyBorder="1" applyAlignment="1">
      <alignment horizontal="left" vertical="center" wrapText="1"/>
    </xf>
    <xf numFmtId="0" fontId="2" fillId="0" borderId="14" xfId="0" applyFont="1" applyBorder="1" applyAlignment="1">
      <alignment horizontal="left" vertical="center" wrapText="1"/>
    </xf>
    <xf numFmtId="0" fontId="8" fillId="0" borderId="3" xfId="0" applyFont="1" applyBorder="1" applyAlignment="1" applyProtection="1">
      <alignment vertical="center" wrapText="1"/>
      <protection locked="0"/>
    </xf>
    <xf numFmtId="0" fontId="8" fillId="0" borderId="5" xfId="0" applyFont="1" applyBorder="1" applyAlignment="1" applyProtection="1">
      <alignment vertical="center" wrapText="1"/>
      <protection locked="0"/>
    </xf>
    <xf numFmtId="0" fontId="3" fillId="0" borderId="3" xfId="0" applyFont="1" applyBorder="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5" xfId="0" applyFont="1" applyBorder="1" applyAlignment="1" applyProtection="1">
      <alignment horizontal="left" vertical="center"/>
      <protection locked="0"/>
    </xf>
    <xf numFmtId="0" fontId="4" fillId="0" borderId="0" xfId="0" applyFont="1" applyFill="1" applyBorder="1" applyAlignment="1" applyProtection="1">
      <alignment horizontal="center"/>
      <protection locked="0"/>
    </xf>
    <xf numFmtId="0" fontId="6" fillId="0" borderId="15" xfId="0" applyFont="1" applyBorder="1" applyAlignment="1" applyProtection="1">
      <alignment horizontal="center" vertical="center"/>
      <protection locked="0"/>
    </xf>
    <xf numFmtId="0" fontId="3" fillId="0" borderId="3" xfId="0" quotePrefix="1" applyFont="1" applyBorder="1" applyAlignment="1" applyProtection="1">
      <alignment horizontal="center" vertical="center"/>
      <protection locked="0"/>
    </xf>
    <xf numFmtId="0" fontId="3" fillId="0" borderId="5" xfId="0" quotePrefix="1" applyFont="1" applyBorder="1" applyAlignment="1" applyProtection="1">
      <alignment horizontal="center" vertical="center"/>
      <protection locked="0"/>
    </xf>
    <xf numFmtId="0" fontId="2" fillId="0" borderId="1" xfId="0" applyFont="1" applyBorder="1" applyAlignment="1">
      <alignment horizontal="left" vertical="center" wrapText="1"/>
    </xf>
    <xf numFmtId="49" fontId="3" fillId="0" borderId="1" xfId="0" applyNumberFormat="1" applyFont="1" applyBorder="1" applyAlignment="1" applyProtection="1">
      <alignment horizontal="left" vertical="center"/>
      <protection locked="0"/>
    </xf>
    <xf numFmtId="0" fontId="2" fillId="0" borderId="0" xfId="0" applyFont="1" applyBorder="1" applyAlignment="1">
      <alignment horizontal="center" vertical="center"/>
    </xf>
  </cellXfs>
  <cellStyles count="7">
    <cellStyle name="Comma" xfId="4"/>
    <cellStyle name="Comma [0]" xfId="5"/>
    <cellStyle name="Currency" xfId="2"/>
    <cellStyle name="Currency [0]" xfId="3"/>
    <cellStyle name="Normal" xfId="0" builtinId="0"/>
    <cellStyle name="Normal 2 2" xfId="6"/>
    <cellStyle name="Percent" xfId="1"/>
  </cellStyles>
  <dxfs count="1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ill>
        <patternFill>
          <bgColor rgb="FFFFFF00"/>
        </patternFill>
      </fill>
    </dxf>
    <dxf>
      <font>
        <color rgb="FF9C0006"/>
      </font>
      <fill>
        <patternFill>
          <bgColor rgb="FFFFC7CE"/>
        </patternFill>
      </fill>
    </dxf>
    <dxf>
      <fill>
        <patternFill>
          <bgColor rgb="FFFFFF00"/>
        </patternFill>
      </fill>
    </dxf>
    <dxf>
      <font>
        <color rgb="FF9C0006"/>
      </font>
      <fill>
        <patternFill>
          <bgColor rgb="FFFFC7CE"/>
        </patternFill>
      </fill>
    </dxf>
    <dxf>
      <fill>
        <patternFill>
          <bgColor rgb="FFFFFF00"/>
        </patternFill>
      </fill>
    </dxf>
    <dxf>
      <font>
        <color rgb="FF9C0006"/>
      </font>
      <fill>
        <patternFill>
          <bgColor rgb="FFFFC7CE"/>
        </patternFill>
      </fill>
    </dxf>
    <dxf>
      <fill>
        <patternFill>
          <bgColor rgb="FFFFFF00"/>
        </patternFill>
      </fill>
    </dxf>
    <dxf>
      <font>
        <color rgb="FF9C0006"/>
      </font>
      <fill>
        <patternFill>
          <bgColor rgb="FFFFC7CE"/>
        </patternFill>
      </fill>
    </dxf>
    <dxf>
      <fill>
        <patternFill>
          <bgColor rgb="FFFFFF00"/>
        </patternFill>
      </fill>
    </dxf>
    <dxf>
      <font>
        <color rgb="FF9C0006"/>
      </font>
      <fill>
        <patternFill>
          <bgColor rgb="FFFFC7CE"/>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0</xdr:rowOff>
        </xdr:from>
        <xdr:to>
          <xdr:col>0</xdr:col>
          <xdr:colOff>1371600</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Load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4</xdr:col>
      <xdr:colOff>514350</xdr:colOff>
      <xdr:row>11</xdr:row>
      <xdr:rowOff>0</xdr:rowOff>
    </xdr:from>
    <xdr:ext cx="180975" cy="314325"/>
    <xdr:sp macro="" textlink="">
      <xdr:nvSpPr>
        <xdr:cNvPr id="3" name="TextBox 2"/>
        <xdr:cNvSpPr txBox="1"/>
      </xdr:nvSpPr>
      <xdr:spPr>
        <a:xfrm>
          <a:off x="2419350" y="4800600"/>
          <a:ext cx="180975" cy="314325"/>
        </a:xfrm>
        <a:prstGeom prst="rect">
          <a:avLst/>
        </a:prstGeom>
        <a:noFill/>
        <a:ln>
          <a:noFill/>
        </a:ln>
      </xdr:spPr>
      <xdr:style>
        <a:lnRef idx="0">
          <a:srgbClr val="000000"/>
        </a:lnRef>
        <a:fillRef idx="0">
          <a:srgbClr val="000000"/>
        </a:fillRef>
        <a:effectRef idx="0">
          <a:srgbClr val="000000"/>
        </a:effectRef>
        <a:fontRef idx="minor">
          <a:schemeClr val="tx1"/>
        </a:fontRef>
      </xdr:style>
      <xdr:txBody>
        <a:bodyPr vertOverflow="clip" horzOverflow="clip" wrap="none" rtlCol="0" anchor="t">
          <a:spAutoFit/>
        </a:bodyPr>
        <a:lstStyle/>
        <a:p>
          <a:endParaRPr lang="en-US" sz="1500">
            <a:latin typeface="Times New Roman" panose="02020603050405020304" pitchFamily="18" charset="0"/>
            <a:cs typeface="Times New Roman" panose="02020603050405020304" pitchFamily="18" charset="0"/>
          </a:endParaRPr>
        </a:p>
      </xdr:txBody>
    </xdr:sp>
    <xdr:clientData/>
  </xdr:oneCellAnchor>
  <xdr:oneCellAnchor>
    <xdr:from>
      <xdr:col>4</xdr:col>
      <xdr:colOff>133350</xdr:colOff>
      <xdr:row>11</xdr:row>
      <xdr:rowOff>0</xdr:rowOff>
    </xdr:from>
    <xdr:ext cx="180975" cy="266700"/>
    <xdr:sp macro="" textlink="">
      <xdr:nvSpPr>
        <xdr:cNvPr id="29" name="TextBox 28"/>
        <xdr:cNvSpPr txBox="1"/>
      </xdr:nvSpPr>
      <xdr:spPr>
        <a:xfrm>
          <a:off x="2038350" y="4800600"/>
          <a:ext cx="180975" cy="266700"/>
        </a:xfrm>
        <a:prstGeom prst="rect">
          <a:avLst/>
        </a:prstGeom>
        <a:noFill/>
        <a:ln>
          <a:noFill/>
        </a:ln>
      </xdr:spPr>
      <xdr:style>
        <a:lnRef idx="0">
          <a:srgbClr val="000000"/>
        </a:lnRef>
        <a:fillRef idx="0">
          <a:srgbClr val="000000"/>
        </a:fillRef>
        <a:effectRef idx="0">
          <a:srgbClr val="000000"/>
        </a:effectRef>
        <a:fontRef idx="minor">
          <a:schemeClr val="tx1"/>
        </a:fontRef>
      </xdr:style>
      <xdr:txBody>
        <a:bodyPr vertOverflow="clip" horzOverflow="clip" wrap="none" rtlCol="0" anchor="t">
          <a:spAutoFit/>
        </a:bodyPr>
        <a:lstStyle/>
        <a:p>
          <a:endParaRPr lang="en-US" sz="1200">
            <a:latin typeface="Times New Roman" panose="02020603050405020304" pitchFamily="18" charset="0"/>
            <a:cs typeface="Times New Roman" panose="02020603050405020304" pitchFamily="18" charset="0"/>
          </a:endParaRPr>
        </a:p>
      </xdr:txBody>
    </xdr:sp>
    <xdr:clientData/>
  </xdr:oneCellAnchor>
  <xdr:oneCellAnchor>
    <xdr:from>
      <xdr:col>9</xdr:col>
      <xdr:colOff>533400</xdr:colOff>
      <xdr:row>11</xdr:row>
      <xdr:rowOff>0</xdr:rowOff>
    </xdr:from>
    <xdr:ext cx="180975" cy="266700"/>
    <xdr:sp macro="" textlink="">
      <xdr:nvSpPr>
        <xdr:cNvPr id="41" name="TextBox 40"/>
        <xdr:cNvSpPr txBox="1"/>
      </xdr:nvSpPr>
      <xdr:spPr>
        <a:xfrm>
          <a:off x="6657975" y="4800600"/>
          <a:ext cx="180975" cy="266700"/>
        </a:xfrm>
        <a:prstGeom prst="rect">
          <a:avLst/>
        </a:prstGeom>
        <a:noFill/>
        <a:ln>
          <a:noFill/>
        </a:ln>
      </xdr:spPr>
      <xdr:style>
        <a:lnRef idx="0">
          <a:srgbClr val="000000"/>
        </a:lnRef>
        <a:fillRef idx="0">
          <a:srgbClr val="000000"/>
        </a:fillRef>
        <a:effectRef idx="0">
          <a:srgbClr val="000000"/>
        </a:effectRef>
        <a:fontRef idx="minor">
          <a:schemeClr val="tx1"/>
        </a:fontRef>
      </xdr:style>
      <xdr:txBody>
        <a:bodyPr vertOverflow="clip" horzOverflow="clip" wrap="none" rtlCol="0" anchor="t">
          <a:spAutoFit/>
        </a:bodyPr>
        <a:lstStyle/>
        <a:p>
          <a:endParaRPr lang="en-US" sz="1200">
            <a:latin typeface="Times New Roman" panose="02020603050405020304" pitchFamily="18" charset="0"/>
            <a:cs typeface="Times New Roman" panose="02020603050405020304" pitchFamily="18" charset="0"/>
          </a:endParaRPr>
        </a:p>
      </xdr:txBody>
    </xdr:sp>
    <xdr:clientData/>
  </xdr:oneCellAnchor>
  <xdr:twoCellAnchor editAs="oneCell">
    <xdr:from>
      <xdr:col>1</xdr:col>
      <xdr:colOff>200025</xdr:colOff>
      <xdr:row>1</xdr:row>
      <xdr:rowOff>66675</xdr:rowOff>
    </xdr:from>
    <xdr:to>
      <xdr:col>2</xdr:col>
      <xdr:colOff>771525</xdr:colOff>
      <xdr:row>1</xdr:row>
      <xdr:rowOff>1304925</xdr:rowOff>
    </xdr:to>
    <xdr:pic>
      <xdr:nvPicPr>
        <xdr:cNvPr id="6" name="Pictur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133350"/>
          <a:ext cx="847725" cy="1238250"/>
        </a:xfrm>
        <a:prstGeom prst="rect">
          <a:avLst/>
        </a:prstGeom>
        <a:ln>
          <a:noFill/>
        </a:ln>
      </xdr:spPr>
    </xdr:pic>
    <xdr:clientData/>
  </xdr:twoCellAnchor>
  <xdr:twoCellAnchor editAs="oneCell">
    <xdr:from>
      <xdr:col>13</xdr:col>
      <xdr:colOff>57150</xdr:colOff>
      <xdr:row>2</xdr:row>
      <xdr:rowOff>28575</xdr:rowOff>
    </xdr:from>
    <xdr:to>
      <xdr:col>14</xdr:col>
      <xdr:colOff>800100</xdr:colOff>
      <xdr:row>2</xdr:row>
      <xdr:rowOff>476250</xdr:rowOff>
    </xdr:to>
    <xdr:sp macro="" textlink="">
      <xdr:nvSpPr>
        <xdr:cNvPr id="37912" name="b_Validate" hidden="1">
          <a:extLst>
            <a:ext uri="{63B3BB69-23CF-44E3-9099-C40C66FF867C}">
              <a14:compatExt xmlns:a14="http://schemas.microsoft.com/office/drawing/2010/main" spid="_x0000_s3791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9</xdr:col>
      <xdr:colOff>533400</xdr:colOff>
      <xdr:row>12</xdr:row>
      <xdr:rowOff>0</xdr:rowOff>
    </xdr:from>
    <xdr:ext cx="180975" cy="266700"/>
    <xdr:sp macro="" textlink="">
      <xdr:nvSpPr>
        <xdr:cNvPr id="13" name="TextBox 12"/>
        <xdr:cNvSpPr txBox="1"/>
      </xdr:nvSpPr>
      <xdr:spPr>
        <a:xfrm>
          <a:off x="6657975" y="4800600"/>
          <a:ext cx="180975" cy="266700"/>
        </a:xfrm>
        <a:prstGeom prst="rect">
          <a:avLst/>
        </a:prstGeom>
        <a:noFill/>
        <a:ln>
          <a:noFill/>
        </a:ln>
      </xdr:spPr>
      <xdr:style>
        <a:lnRef idx="0">
          <a:srgbClr val="000000"/>
        </a:lnRef>
        <a:fillRef idx="0">
          <a:srgbClr val="000000"/>
        </a:fillRef>
        <a:effectRef idx="0">
          <a:srgbClr val="000000"/>
        </a:effectRef>
        <a:fontRef idx="minor">
          <a:schemeClr val="tx1"/>
        </a:fontRef>
      </xdr:style>
      <xdr:txBody>
        <a:bodyPr vertOverflow="clip" horzOverflow="clip" wrap="none" rtlCol="0" anchor="t">
          <a:spAutoFit/>
        </a:bodyPr>
        <a:lstStyle/>
        <a:p>
          <a:endParaRPr lang="en-US" sz="1200">
            <a:latin typeface="Times New Roman" panose="02020603050405020304" pitchFamily="18" charset="0"/>
            <a:cs typeface="Times New Roman" panose="02020603050405020304" pitchFamily="18" charset="0"/>
          </a:endParaRPr>
        </a:p>
      </xdr:txBody>
    </xdr:sp>
    <xdr:clientData/>
  </xdr:oneCellAnchor>
  <mc:AlternateContent xmlns:mc="http://schemas.openxmlformats.org/markup-compatibility/2006">
    <mc:Choice xmlns:a14="http://schemas.microsoft.com/office/drawing/2010/main" Requires="a14">
      <xdr:twoCellAnchor editAs="oneCell">
        <xdr:from>
          <xdr:col>11</xdr:col>
          <xdr:colOff>85725</xdr:colOff>
          <xdr:row>2</xdr:row>
          <xdr:rowOff>28575</xdr:rowOff>
        </xdr:from>
        <xdr:to>
          <xdr:col>11</xdr:col>
          <xdr:colOff>1200150</xdr:colOff>
          <xdr:row>2</xdr:row>
          <xdr:rowOff>457200</xdr:rowOff>
        </xdr:to>
        <xdr:sp macro="" textlink="">
          <xdr:nvSpPr>
            <xdr:cNvPr id="4097" name="cb_ExportLoadFile"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0</xdr:row>
      <xdr:rowOff>38100</xdr:rowOff>
    </xdr:from>
    <xdr:to>
      <xdr:col>1</xdr:col>
      <xdr:colOff>885825</xdr:colOff>
      <xdr:row>0</xdr:row>
      <xdr:rowOff>1276350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38100"/>
          <a:ext cx="847725" cy="1238250"/>
        </a:xfrm>
        <a:prstGeom prst="rect">
          <a:avLst/>
        </a:prstGeom>
        <a:ln>
          <a:noFill/>
        </a:ln>
      </xdr:spPr>
    </xdr:pic>
    <xdr:clientData/>
  </xdr:twoCellAnchor>
  <xdr:twoCellAnchor editAs="oneCell">
    <xdr:from>
      <xdr:col>4</xdr:col>
      <xdr:colOff>190500</xdr:colOff>
      <xdr:row>0</xdr:row>
      <xdr:rowOff>171450</xdr:rowOff>
    </xdr:from>
    <xdr:to>
      <xdr:col>8</xdr:col>
      <xdr:colOff>390525</xdr:colOff>
      <xdr:row>0</xdr:row>
      <xdr:rowOff>571500</xdr:rowOff>
    </xdr:to>
    <xdr:sp macro="" textlink="">
      <xdr:nvSpPr>
        <xdr:cNvPr id="38913" name="cb_GenDocInfo" hidden="1">
          <a:extLst>
            <a:ext uri="{63B3BB69-23CF-44E3-9099-C40C66FF867C}">
              <a14:compatExt xmlns:a14="http://schemas.microsoft.com/office/drawing/2010/main" spid="_x0000_s3891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dmin\Desktop\tmp\T-AFW-DQRE-01751_eTRM_27-12-20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Document (MASTER)"/>
      <sheetName val="Document (REV)"/>
      <sheetName val="Document (VER)"/>
      <sheetName val="Document (FILE)"/>
      <sheetName val="Incoming XMTL"/>
      <sheetName val="Incoming XMTL Section"/>
      <sheetName val="Mapping"/>
      <sheetName val="Transmittal Form"/>
      <sheetName val="File List"/>
    </sheet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1" tint="4.9989318521683403E-2"/>
  </sheetPr>
  <dimension ref="A1:I13"/>
  <sheetViews>
    <sheetView workbookViewId="0">
      <selection activeCell="A9" sqref="A9"/>
    </sheetView>
  </sheetViews>
  <sheetFormatPr defaultColWidth="9.140625" defaultRowHeight="15" x14ac:dyDescent="0.25"/>
  <cols>
    <col min="1" max="1" width="25.85546875" bestFit="1" customWidth="1"/>
    <col min="2" max="2" width="80.7109375" customWidth="1"/>
    <col min="6" max="6" width="12.28515625" bestFit="1" customWidth="1"/>
  </cols>
  <sheetData>
    <row r="1" spans="1:9" ht="37.5" customHeight="1" x14ac:dyDescent="0.25">
      <c r="B1" t="s">
        <v>318</v>
      </c>
    </row>
    <row r="4" spans="1:9" x14ac:dyDescent="0.25">
      <c r="A4" t="s">
        <v>0</v>
      </c>
      <c r="B4" t="s">
        <v>1</v>
      </c>
    </row>
    <row r="6" spans="1:9" x14ac:dyDescent="0.25">
      <c r="A6" t="s">
        <v>291</v>
      </c>
      <c r="B6" t="s">
        <v>292</v>
      </c>
      <c r="F6" t="s">
        <v>293</v>
      </c>
      <c r="G6" t="s">
        <v>294</v>
      </c>
      <c r="H6" t="s">
        <v>295</v>
      </c>
      <c r="I6" t="s">
        <v>296</v>
      </c>
    </row>
    <row r="7" spans="1:9" x14ac:dyDescent="0.25">
      <c r="A7" t="s">
        <v>297</v>
      </c>
      <c r="B7" t="s">
        <v>298</v>
      </c>
      <c r="F7" t="s">
        <v>291</v>
      </c>
      <c r="G7" t="s">
        <v>299</v>
      </c>
      <c r="H7" t="s">
        <v>300</v>
      </c>
      <c r="I7" t="b">
        <v>1</v>
      </c>
    </row>
    <row r="8" spans="1:9" x14ac:dyDescent="0.25">
      <c r="A8" t="s">
        <v>300</v>
      </c>
      <c r="B8" t="s">
        <v>301</v>
      </c>
      <c r="F8" t="s">
        <v>362</v>
      </c>
      <c r="G8" t="s">
        <v>299</v>
      </c>
      <c r="H8" t="s">
        <v>300</v>
      </c>
      <c r="I8" t="b">
        <v>1</v>
      </c>
    </row>
    <row r="9" spans="1:9" x14ac:dyDescent="0.25">
      <c r="A9" t="b">
        <v>0</v>
      </c>
      <c r="B9" t="s">
        <v>302</v>
      </c>
      <c r="F9" t="s">
        <v>363</v>
      </c>
      <c r="G9" t="s">
        <v>299</v>
      </c>
      <c r="H9" t="s">
        <v>300</v>
      </c>
      <c r="I9" t="b">
        <v>1</v>
      </c>
    </row>
    <row r="10" spans="1:9" x14ac:dyDescent="0.25">
      <c r="F10" t="s">
        <v>364</v>
      </c>
      <c r="G10" t="s">
        <v>297</v>
      </c>
      <c r="H10" t="s">
        <v>365</v>
      </c>
      <c r="I10" t="b">
        <v>0</v>
      </c>
    </row>
    <row r="11" spans="1:9" x14ac:dyDescent="0.25">
      <c r="A11" t="b">
        <v>1</v>
      </c>
      <c r="B11" t="s">
        <v>366</v>
      </c>
      <c r="F11" t="s">
        <v>367</v>
      </c>
      <c r="G11" t="s">
        <v>368</v>
      </c>
    </row>
    <row r="12" spans="1:9" x14ac:dyDescent="0.25">
      <c r="F12" t="s">
        <v>369</v>
      </c>
      <c r="G12" t="s">
        <v>370</v>
      </c>
    </row>
    <row r="13" spans="1:9" x14ac:dyDescent="0.25">
      <c r="F13" t="s">
        <v>371</v>
      </c>
    </row>
  </sheetData>
  <dataValidations count="4">
    <dataValidation type="list" allowBlank="1" showInputMessage="1" showErrorMessage="1" sqref="A9">
      <formula1>AllBoolean</formula1>
    </dataValidation>
    <dataValidation type="list" allowBlank="1" showInputMessage="1" showErrorMessage="1" sqref="A8">
      <formula1>AllFormats</formula1>
    </dataValidation>
    <dataValidation type="list" allowBlank="1" showInputMessage="1" showErrorMessage="1" sqref="A6">
      <formula1>AllSolutions</formula1>
    </dataValidation>
    <dataValidation type="list" allowBlank="1" showInputMessage="1" showErrorMessage="1" sqref="A7">
      <formula1>AllScopes</formula1>
    </dataValidation>
  </dataValidations>
  <pageMargins left="0.75" right="0.75" top="1" bottom="1" header="0.5" footer="0.5"/>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Line="0" autoPict="0" macro="[0]!ExportAllLoadFiles">
                <anchor moveWithCells="1" sizeWithCells="1">
                  <from>
                    <xdr:col>0</xdr:col>
                    <xdr:colOff>9525</xdr:colOff>
                    <xdr:row>0</xdr:row>
                    <xdr:rowOff>0</xdr:rowOff>
                  </from>
                  <to>
                    <xdr:col>0</xdr:col>
                    <xdr:colOff>1371600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U3"/>
  <sheetViews>
    <sheetView workbookViewId="0">
      <selection activeCell="A3" sqref="A3"/>
    </sheetView>
  </sheetViews>
  <sheetFormatPr defaultColWidth="9.140625" defaultRowHeight="15" x14ac:dyDescent="0.25"/>
  <cols>
    <col min="1" max="1" width="31.28515625" style="3" customWidth="1"/>
    <col min="2" max="2" width="28.7109375" style="3" customWidth="1"/>
    <col min="3" max="3" width="28.42578125" style="3" bestFit="1" customWidth="1"/>
    <col min="4" max="4" width="30.140625" style="3" customWidth="1"/>
    <col min="5" max="5" width="30.140625" style="41" customWidth="1"/>
    <col min="6" max="6" width="20.140625" style="3" bestFit="1" customWidth="1"/>
    <col min="7" max="7" width="13.5703125" style="3" customWidth="1"/>
    <col min="8" max="8" width="26.28515625" style="3" bestFit="1" customWidth="1"/>
    <col min="9" max="9" width="19" style="3" customWidth="1"/>
    <col min="10" max="10" width="28.42578125" style="3" bestFit="1" customWidth="1"/>
    <col min="11" max="11" width="12" style="3" bestFit="1" customWidth="1"/>
    <col min="12" max="12" width="12" style="3" customWidth="1"/>
    <col min="13" max="13" width="14.28515625" style="3" bestFit="1" customWidth="1"/>
    <col min="14" max="14" width="22.28515625" style="3" bestFit="1" customWidth="1"/>
    <col min="15" max="15" width="26.7109375" style="3" bestFit="1" customWidth="1"/>
    <col min="16" max="16" width="23.85546875" style="3" bestFit="1" customWidth="1"/>
    <col min="17" max="17" width="26.5703125" style="3" bestFit="1" customWidth="1"/>
    <col min="18" max="18" width="20.7109375" style="3" customWidth="1"/>
    <col min="19" max="19" width="26.5703125" style="3" customWidth="1"/>
    <col min="20" max="20" width="17.28515625" style="3" customWidth="1"/>
    <col min="21" max="21" width="16.28515625" style="3" customWidth="1"/>
    <col min="22" max="16384" width="9.140625" style="3"/>
  </cols>
  <sheetData>
    <row r="1" spans="1:21" s="10" customFormat="1" x14ac:dyDescent="0.25">
      <c r="A1" s="10" t="s">
        <v>415</v>
      </c>
      <c r="E1" s="11"/>
      <c r="H1" s="11"/>
    </row>
    <row r="2" spans="1:21" x14ac:dyDescent="0.25">
      <c r="E2" s="12"/>
      <c r="H2" s="12"/>
    </row>
    <row r="3" spans="1:21" ht="30" x14ac:dyDescent="0.25">
      <c r="A3" s="13" t="s">
        <v>228</v>
      </c>
      <c r="B3" s="13" t="s">
        <v>3</v>
      </c>
      <c r="C3" s="13" t="s">
        <v>430</v>
      </c>
      <c r="D3" s="13" t="s">
        <v>431</v>
      </c>
      <c r="E3" s="13" t="s">
        <v>0</v>
      </c>
      <c r="F3" s="13" t="s">
        <v>209</v>
      </c>
      <c r="G3" s="13" t="s">
        <v>7</v>
      </c>
      <c r="H3" s="13" t="s">
        <v>202</v>
      </c>
      <c r="I3" s="13" t="s">
        <v>358</v>
      </c>
      <c r="J3" s="13" t="s">
        <v>359</v>
      </c>
      <c r="K3" s="13" t="s">
        <v>315</v>
      </c>
      <c r="L3" s="13" t="s">
        <v>453</v>
      </c>
      <c r="M3" s="13" t="s">
        <v>454</v>
      </c>
      <c r="N3" s="13" t="s">
        <v>353</v>
      </c>
      <c r="O3" s="13" t="s">
        <v>446</v>
      </c>
      <c r="P3" s="13" t="s">
        <v>448</v>
      </c>
      <c r="Q3" s="13" t="s">
        <v>447</v>
      </c>
      <c r="R3" s="13" t="s">
        <v>452</v>
      </c>
      <c r="S3" s="13" t="s">
        <v>450</v>
      </c>
      <c r="T3" s="65" t="s">
        <v>469</v>
      </c>
      <c r="U3" s="43" t="s">
        <v>449</v>
      </c>
    </row>
  </sheetData>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U3"/>
  <sheetViews>
    <sheetView workbookViewId="0">
      <selection activeCell="A3" sqref="A3"/>
    </sheetView>
  </sheetViews>
  <sheetFormatPr defaultColWidth="9.140625" defaultRowHeight="15" x14ac:dyDescent="0.25"/>
  <cols>
    <col min="1" max="1" width="31.28515625" customWidth="1"/>
    <col min="2" max="2" width="38" bestFit="1" customWidth="1"/>
    <col min="3" max="3" width="30.140625" customWidth="1"/>
    <col min="4" max="4" width="30.140625" style="41" customWidth="1"/>
    <col min="5" max="5" width="33.85546875" customWidth="1"/>
    <col min="6" max="6" width="13.7109375" bestFit="1" customWidth="1"/>
    <col min="7" max="7" width="14.28515625" bestFit="1" customWidth="1"/>
    <col min="8" max="8" width="14.28515625" style="3" bestFit="1" customWidth="1"/>
    <col min="9" max="9" width="16.42578125" customWidth="1"/>
    <col min="10" max="10" width="24.140625" customWidth="1"/>
    <col min="11" max="11" width="21.85546875" bestFit="1" customWidth="1"/>
    <col min="12" max="12" width="23" customWidth="1"/>
    <col min="13" max="13" width="15.5703125" bestFit="1" customWidth="1"/>
    <col min="14" max="14" width="16" bestFit="1" customWidth="1"/>
    <col min="15" max="15" width="24.42578125" style="2" bestFit="1" customWidth="1"/>
    <col min="16" max="16" width="30.7109375" bestFit="1" customWidth="1"/>
    <col min="17" max="17" width="29.5703125" customWidth="1"/>
    <col min="18" max="18" width="13.7109375" bestFit="1" customWidth="1"/>
    <col min="19" max="19" width="27.85546875" customWidth="1"/>
    <col min="20" max="20" width="25.5703125" customWidth="1"/>
    <col min="21" max="21" width="22.28515625" bestFit="1" customWidth="1"/>
    <col min="22" max="22" width="17.28515625" bestFit="1" customWidth="1"/>
    <col min="23" max="23" width="14.140625" bestFit="1" customWidth="1"/>
    <col min="24" max="24" width="20" bestFit="1" customWidth="1"/>
  </cols>
  <sheetData>
    <row r="1" spans="1:21" s="10" customFormat="1" x14ac:dyDescent="0.25">
      <c r="A1" s="10" t="s">
        <v>415</v>
      </c>
      <c r="D1" s="40"/>
      <c r="E1" s="11"/>
    </row>
    <row r="2" spans="1:21" s="3" customFormat="1" x14ac:dyDescent="0.25">
      <c r="D2" s="41"/>
      <c r="E2" s="12"/>
    </row>
    <row r="3" spans="1:21" s="3" customFormat="1" x14ac:dyDescent="0.25">
      <c r="A3" s="13" t="s">
        <v>229</v>
      </c>
      <c r="B3" s="13" t="s">
        <v>3</v>
      </c>
      <c r="C3" s="13" t="s">
        <v>201</v>
      </c>
      <c r="D3" s="13" t="s">
        <v>0</v>
      </c>
      <c r="E3" s="13" t="s">
        <v>245</v>
      </c>
      <c r="F3" s="13" t="s">
        <v>208</v>
      </c>
      <c r="G3" s="13" t="s">
        <v>206</v>
      </c>
      <c r="H3" s="13" t="s">
        <v>207</v>
      </c>
      <c r="I3" s="13" t="s">
        <v>237</v>
      </c>
      <c r="J3" s="13" t="s">
        <v>205</v>
      </c>
      <c r="K3" s="13" t="s">
        <v>248</v>
      </c>
      <c r="L3" s="13" t="s">
        <v>249</v>
      </c>
      <c r="M3" s="13" t="s">
        <v>250</v>
      </c>
      <c r="N3" s="13" t="s">
        <v>284</v>
      </c>
      <c r="O3" s="13" t="s">
        <v>331</v>
      </c>
      <c r="P3" s="13" t="s">
        <v>330</v>
      </c>
      <c r="Q3" s="43" t="s">
        <v>445</v>
      </c>
      <c r="R3" s="13" t="s">
        <v>7</v>
      </c>
      <c r="S3" s="43" t="s">
        <v>425</v>
      </c>
      <c r="T3" s="43" t="s">
        <v>465</v>
      </c>
      <c r="U3" s="43" t="s">
        <v>466</v>
      </c>
    </row>
  </sheetData>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J3"/>
  <sheetViews>
    <sheetView workbookViewId="0">
      <selection activeCell="A3" sqref="A3"/>
    </sheetView>
  </sheetViews>
  <sheetFormatPr defaultColWidth="9.140625" defaultRowHeight="15" x14ac:dyDescent="0.25"/>
  <cols>
    <col min="1" max="1" width="31.28515625" customWidth="1"/>
    <col min="2" max="2" width="40" bestFit="1" customWidth="1"/>
    <col min="3" max="3" width="32.42578125" bestFit="1" customWidth="1"/>
    <col min="4" max="4" width="32.42578125" style="41" customWidth="1"/>
    <col min="5" max="5" width="38.140625" bestFit="1" customWidth="1"/>
    <col min="6" max="6" width="15.42578125" bestFit="1" customWidth="1"/>
    <col min="7" max="7" width="13.140625" bestFit="1" customWidth="1"/>
    <col min="8" max="8" width="13.42578125" bestFit="1" customWidth="1"/>
    <col min="9" max="9" width="19.140625" bestFit="1" customWidth="1"/>
    <col min="10" max="10" width="12.5703125" bestFit="1" customWidth="1"/>
  </cols>
  <sheetData>
    <row r="1" spans="1:10" s="10" customFormat="1" x14ac:dyDescent="0.25">
      <c r="A1" s="10" t="s">
        <v>416</v>
      </c>
      <c r="D1" s="40"/>
      <c r="E1" s="11"/>
      <c r="H1" s="11"/>
    </row>
    <row r="2" spans="1:10" s="3" customFormat="1" x14ac:dyDescent="0.25">
      <c r="D2" s="41"/>
      <c r="E2" s="12"/>
      <c r="H2" s="12"/>
    </row>
    <row r="3" spans="1:10" s="3" customFormat="1" x14ac:dyDescent="0.25">
      <c r="A3" s="13" t="s">
        <v>231</v>
      </c>
      <c r="B3" s="13" t="s">
        <v>3</v>
      </c>
      <c r="C3" s="13" t="s">
        <v>201</v>
      </c>
      <c r="D3" s="13" t="s">
        <v>0</v>
      </c>
      <c r="E3" s="13" t="s">
        <v>247</v>
      </c>
      <c r="F3" s="13" t="s">
        <v>254</v>
      </c>
      <c r="G3" s="13" t="s">
        <v>252</v>
      </c>
      <c r="H3" s="13" t="s">
        <v>253</v>
      </c>
      <c r="I3" s="13" t="s">
        <v>210</v>
      </c>
      <c r="J3" s="13" t="s">
        <v>7</v>
      </c>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O3"/>
  <sheetViews>
    <sheetView workbookViewId="0">
      <selection activeCell="A3" sqref="A3"/>
    </sheetView>
  </sheetViews>
  <sheetFormatPr defaultColWidth="9.140625" defaultRowHeight="15" x14ac:dyDescent="0.25"/>
  <cols>
    <col min="1" max="1" width="31.28515625" customWidth="1"/>
    <col min="2" max="2" width="38.42578125" bestFit="1" customWidth="1"/>
    <col min="3" max="3" width="77.5703125" bestFit="1" customWidth="1"/>
    <col min="4" max="4" width="40" bestFit="1" customWidth="1"/>
    <col min="5" max="5" width="15.42578125" bestFit="1" customWidth="1"/>
    <col min="6" max="6" width="13.140625" bestFit="1" customWidth="1"/>
    <col min="7" max="7" width="13.42578125" bestFit="1" customWidth="1"/>
    <col min="8" max="8" width="31" customWidth="1"/>
    <col min="9" max="9" width="52.5703125" bestFit="1" customWidth="1"/>
    <col min="10" max="10" width="11.140625" bestFit="1" customWidth="1"/>
    <col min="11" max="11" width="18.5703125" bestFit="1" customWidth="1"/>
    <col min="12" max="12" width="17.28515625" bestFit="1" customWidth="1"/>
    <col min="13" max="13" width="14.140625" bestFit="1" customWidth="1"/>
    <col min="14" max="14" width="20" bestFit="1" customWidth="1"/>
    <col min="15" max="15" width="18.28515625" customWidth="1"/>
  </cols>
  <sheetData>
    <row r="1" spans="1:15" s="10" customFormat="1" x14ac:dyDescent="0.25">
      <c r="A1" s="10" t="s">
        <v>416</v>
      </c>
      <c r="E1" s="11"/>
      <c r="H1" s="11"/>
    </row>
    <row r="2" spans="1:15" s="3" customFormat="1" x14ac:dyDescent="0.25">
      <c r="E2" s="12"/>
      <c r="H2" s="12"/>
    </row>
    <row r="3" spans="1:15" s="3" customFormat="1" x14ac:dyDescent="0.25">
      <c r="A3" s="13" t="s">
        <v>255</v>
      </c>
      <c r="B3" s="13" t="s">
        <v>4</v>
      </c>
      <c r="C3" s="13" t="s">
        <v>3</v>
      </c>
      <c r="D3" s="13" t="s">
        <v>272</v>
      </c>
      <c r="E3" s="13" t="s">
        <v>256</v>
      </c>
      <c r="F3" s="13" t="s">
        <v>257</v>
      </c>
      <c r="G3" s="13" t="s">
        <v>258</v>
      </c>
      <c r="H3" s="13" t="s">
        <v>259</v>
      </c>
      <c r="I3" s="13" t="s">
        <v>260</v>
      </c>
      <c r="J3" s="13" t="s">
        <v>285</v>
      </c>
      <c r="K3" s="13" t="s">
        <v>262</v>
      </c>
      <c r="L3" s="13" t="s">
        <v>278</v>
      </c>
      <c r="M3" s="13" t="s">
        <v>7</v>
      </c>
      <c r="N3" s="13" t="s">
        <v>345</v>
      </c>
      <c r="O3" s="43" t="s">
        <v>0</v>
      </c>
    </row>
  </sheetData>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N7"/>
  <sheetViews>
    <sheetView showGridLines="0" workbookViewId="0">
      <selection activeCell="F13" sqref="F13"/>
    </sheetView>
  </sheetViews>
  <sheetFormatPr defaultColWidth="9.140625" defaultRowHeight="15" x14ac:dyDescent="0.25"/>
  <cols>
    <col min="1" max="1" width="34.28515625" customWidth="1"/>
    <col min="2" max="2" width="30.28515625" customWidth="1"/>
    <col min="3" max="3" width="67.7109375" customWidth="1"/>
    <col min="4" max="4" width="35.5703125" bestFit="1" customWidth="1"/>
    <col min="5" max="5" width="16.85546875" customWidth="1"/>
    <col min="6" max="6" width="26.28515625" bestFit="1" customWidth="1"/>
    <col min="7" max="7" width="18.28515625" bestFit="1" customWidth="1"/>
    <col min="8" max="8" width="25.5703125" bestFit="1" customWidth="1"/>
    <col min="9" max="9" width="31.42578125" bestFit="1" customWidth="1"/>
    <col min="10" max="10" width="41.7109375" customWidth="1"/>
    <col min="11" max="11" width="34.28515625" bestFit="1" customWidth="1"/>
    <col min="12" max="12" width="30.7109375" bestFit="1" customWidth="1"/>
    <col min="13" max="13" width="31.42578125" bestFit="1" customWidth="1"/>
    <col min="14" max="14" width="37" bestFit="1" customWidth="1"/>
    <col min="15" max="15" width="32.7109375" bestFit="1" customWidth="1"/>
    <col min="16" max="16" width="38.42578125" bestFit="1" customWidth="1"/>
    <col min="17" max="17" width="27.140625" bestFit="1" customWidth="1"/>
    <col min="18" max="18" width="28.42578125" bestFit="1" customWidth="1"/>
    <col min="19" max="19" width="27" bestFit="1" customWidth="1"/>
    <col min="20" max="20" width="23.5703125" bestFit="1" customWidth="1"/>
    <col min="21" max="21" width="32.85546875" bestFit="1" customWidth="1"/>
    <col min="22" max="22" width="27.140625" bestFit="1" customWidth="1"/>
    <col min="23" max="23" width="28" bestFit="1" customWidth="1"/>
    <col min="24" max="24" width="29.7109375" bestFit="1" customWidth="1"/>
    <col min="25" max="25" width="32.85546875" bestFit="1" customWidth="1"/>
    <col min="26" max="26" width="18.140625" bestFit="1" customWidth="1"/>
  </cols>
  <sheetData>
    <row r="1" spans="1:14" s="10" customFormat="1" x14ac:dyDescent="0.25">
      <c r="A1" s="10" t="s">
        <v>332</v>
      </c>
      <c r="E1" s="11"/>
      <c r="F1" s="11"/>
    </row>
    <row r="2" spans="1:14" s="3" customFormat="1" x14ac:dyDescent="0.25">
      <c r="E2" s="12"/>
      <c r="F2" s="12"/>
    </row>
    <row r="3" spans="1:14" s="3" customFormat="1" x14ac:dyDescent="0.25">
      <c r="A3" s="13" t="s">
        <v>321</v>
      </c>
      <c r="B3" s="13" t="s">
        <v>3</v>
      </c>
      <c r="C3" s="13" t="s">
        <v>4</v>
      </c>
      <c r="D3" s="13" t="s">
        <v>0</v>
      </c>
      <c r="E3" s="13" t="s">
        <v>7</v>
      </c>
      <c r="F3" s="13" t="s">
        <v>337</v>
      </c>
      <c r="G3" s="13" t="s">
        <v>210</v>
      </c>
      <c r="H3" s="13" t="s">
        <v>427</v>
      </c>
      <c r="I3" s="13" t="s">
        <v>428</v>
      </c>
      <c r="J3" s="13" t="s">
        <v>404</v>
      </c>
      <c r="K3" s="13" t="s">
        <v>406</v>
      </c>
      <c r="L3" s="13" t="s">
        <v>202</v>
      </c>
      <c r="M3" s="13" t="s">
        <v>356</v>
      </c>
      <c r="N3" s="13" t="s">
        <v>349</v>
      </c>
    </row>
    <row r="4" spans="1:14" s="18" customFormat="1" x14ac:dyDescent="0.25">
      <c r="A4" s="14"/>
      <c r="B4" s="14" t="str">
        <f>IF($C$4&lt;&gt;"","XMTLIN_"&amp;C4,"")</f>
        <v/>
      </c>
      <c r="C4" s="15" t="str">
        <f>IF('Transmittal Form'!G4&lt;&gt;"",'Transmittal Form'!G4,"")</f>
        <v/>
      </c>
      <c r="D4" s="16"/>
      <c r="E4" s="16" t="str">
        <f>IF($C$4&lt;&gt;"","EDMS.XMTL","")</f>
        <v/>
      </c>
      <c r="F4" s="17" t="str">
        <f>IF($C$4&lt;&gt;"","e1XmtlIssueStateRESERVED","")</f>
        <v/>
      </c>
      <c r="G4" s="14" t="b">
        <f>IF($C$4&lt;&gt;"","DAG_PUBLIC")</f>
        <v>0</v>
      </c>
      <c r="H4" s="14" t="str">
        <f>IF(AND($C4&lt;&gt;"",'Transmittal Form'!E5&lt;&gt;""),YEAR('Transmittal Form'!E5)&amp;"/"&amp;TEXT(MONTH('Transmittal Form'!E5),"00")&amp;"/"&amp;TEXT(DAY('Transmittal Form'!E5),"00"),"")</f>
        <v/>
      </c>
      <c r="I4" s="14"/>
      <c r="J4" s="14"/>
      <c r="K4" s="14"/>
      <c r="L4" s="14" t="b">
        <f>IF($C$4&lt;&gt;"","SPXDC_TRM_CORR_DQR")</f>
        <v>0</v>
      </c>
      <c r="M4" s="14" t="str">
        <f>IF(AND($C$4&lt;&gt;"",'Transmittal Form'!E9&lt;&gt;""),"SPXOrganisation_"&amp;LEFT('Transmittal Form'!E9,FIND(",",'Transmittal Form'!E9)-1)&amp;"_DQR","")</f>
        <v/>
      </c>
      <c r="N4" s="14" t="str">
        <f>IF(AND($C$4&lt;&gt;"",'Transmittal Form'!E6&lt;&gt;""),"SPXOrganisation_"&amp;LEFT('Transmittal Form'!E6,FIND(",",'Transmittal Form'!E6)-1)&amp;"_DQR","")</f>
        <v/>
      </c>
    </row>
    <row r="6" spans="1:14" s="3" customFormat="1" x14ac:dyDescent="0.25">
      <c r="A6" s="13" t="s">
        <v>255</v>
      </c>
      <c r="B6" s="13" t="s">
        <v>4</v>
      </c>
      <c r="C6" s="13" t="s">
        <v>3</v>
      </c>
      <c r="D6" s="13" t="s">
        <v>346</v>
      </c>
      <c r="E6" s="13" t="s">
        <v>256</v>
      </c>
      <c r="F6" s="13" t="s">
        <v>257</v>
      </c>
      <c r="G6" s="13" t="s">
        <v>258</v>
      </c>
      <c r="H6" s="13" t="s">
        <v>259</v>
      </c>
      <c r="I6" s="13" t="s">
        <v>260</v>
      </c>
      <c r="J6" s="13" t="s">
        <v>285</v>
      </c>
      <c r="K6" s="13" t="s">
        <v>262</v>
      </c>
      <c r="L6" s="13" t="s">
        <v>278</v>
      </c>
      <c r="M6" s="13" t="s">
        <v>7</v>
      </c>
      <c r="N6" s="13" t="s">
        <v>345</v>
      </c>
    </row>
    <row r="7" spans="1:14" s="18" customFormat="1" ht="30" x14ac:dyDescent="0.25">
      <c r="A7" s="14"/>
      <c r="B7" s="14" t="str">
        <f ca="1">MID(CELL("filename",A1),FIND("[",CELL("filename",A1))+1,FIND("]",CELL("filename",A1))-FIND("[",CELL("filename",A1))-1)</f>
        <v>DQRE_Contractor Transmittal Template.xlsm</v>
      </c>
      <c r="C7" s="15" t="str">
        <f>IF($B$4&lt;&gt;"",$B$4&amp;".XMTLF_"&amp;B7,"")</f>
        <v/>
      </c>
      <c r="D7" s="16" t="str">
        <f>IF($B$4&lt;&gt;"",$B$4,"")</f>
        <v/>
      </c>
      <c r="E7" s="16" t="str">
        <f>IF($B$4&lt;&gt;"","VLT_DQR"&amp;"Vault","")</f>
        <v/>
      </c>
      <c r="F7" s="17" t="str">
        <f>IF($B$4&lt;&gt;"","FALSE","")</f>
        <v/>
      </c>
      <c r="G7" s="14" t="str">
        <f>IF($B$4&lt;&gt;"","TRUE","")</f>
        <v/>
      </c>
      <c r="H7" s="14" t="s">
        <v>462</v>
      </c>
      <c r="I7" s="14" t="str">
        <f ca="1">B7</f>
        <v>DQRE_Contractor Transmittal Template.xlsm</v>
      </c>
      <c r="J7" s="14" t="str">
        <f>IF($B$4&lt;&gt;"","TRUE","")</f>
        <v/>
      </c>
      <c r="K7" s="14" t="str">
        <f>IF($B$4&lt;&gt;"","FALSE","")</f>
        <v/>
      </c>
      <c r="L7" s="14" t="str">
        <f>IF($B$4&lt;&gt;"","SPFDesignFile","")</f>
        <v/>
      </c>
      <c r="M7" s="14" t="str">
        <f>IF($B$4&lt;&gt;"","EDMS.XMTL","")</f>
        <v/>
      </c>
      <c r="N7" s="14"/>
    </row>
  </sheetData>
  <dataValidations count="1">
    <dataValidation allowBlank="1" showInputMessage="1" sqref="E4:G4"/>
  </dataValidations>
  <pageMargins left="0.75" right="0.75" top="1" bottom="1" header="0.5" footer="0.5"/>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F9"/>
  <sheetViews>
    <sheetView workbookViewId="0">
      <selection activeCell="A9" sqref="A9"/>
    </sheetView>
  </sheetViews>
  <sheetFormatPr defaultColWidth="9.140625" defaultRowHeight="15" x14ac:dyDescent="0.25"/>
  <cols>
    <col min="1" max="1" width="28.7109375" customWidth="1"/>
    <col min="2" max="2" width="86.42578125" bestFit="1" customWidth="1"/>
    <col min="3" max="3" width="48.5703125" bestFit="1" customWidth="1"/>
    <col min="4" max="4" width="61.5703125" bestFit="1" customWidth="1"/>
    <col min="5" max="5" width="28.42578125" bestFit="1" customWidth="1"/>
    <col min="6" max="6" width="12.85546875" bestFit="1" customWidth="1"/>
    <col min="7" max="7" width="14.28515625" bestFit="1" customWidth="1"/>
  </cols>
  <sheetData>
    <row r="1" spans="1:6" s="10" customFormat="1" x14ac:dyDescent="0.25">
      <c r="A1" s="10" t="s">
        <v>333</v>
      </c>
      <c r="E1" s="11"/>
      <c r="F1" s="11"/>
    </row>
    <row r="2" spans="1:6" s="3" customFormat="1" x14ac:dyDescent="0.25">
      <c r="E2" s="12"/>
      <c r="F2" s="12"/>
    </row>
    <row r="3" spans="1:6" s="3" customFormat="1" x14ac:dyDescent="0.25">
      <c r="A3" s="13" t="s">
        <v>322</v>
      </c>
      <c r="B3" s="13" t="s">
        <v>3</v>
      </c>
      <c r="C3" s="13" t="s">
        <v>4</v>
      </c>
      <c r="D3" s="13" t="s">
        <v>0</v>
      </c>
      <c r="E3" s="13" t="s">
        <v>323</v>
      </c>
      <c r="F3" s="13" t="s">
        <v>7</v>
      </c>
    </row>
    <row r="4" spans="1:6" s="18" customFormat="1" x14ac:dyDescent="0.25">
      <c r="A4" s="14"/>
      <c r="B4" s="14" t="str">
        <f>IF('Incoming XMTL'!B4&lt;&gt;"",'Incoming XMTL'!B4&amp;"_Transmittal Documents","")</f>
        <v/>
      </c>
      <c r="C4" s="15" t="str">
        <f>IF('Incoming XMTL'!C4&lt;&gt;"","Transmittal Documents","")</f>
        <v/>
      </c>
      <c r="D4" s="16"/>
      <c r="E4" s="16" t="str">
        <f>IF('Incoming XMTL'!F4&lt;&gt;"","Transmittal Document List","")</f>
        <v/>
      </c>
      <c r="F4" s="17" t="str">
        <f>IF($C$4&lt;&gt;"","EDMS.XMTL","")</f>
        <v/>
      </c>
    </row>
    <row r="6" spans="1:6" x14ac:dyDescent="0.25">
      <c r="A6" s="13" t="s">
        <v>341</v>
      </c>
      <c r="B6" s="13" t="s">
        <v>3</v>
      </c>
      <c r="C6" s="13" t="s">
        <v>14</v>
      </c>
      <c r="D6" s="13" t="s">
        <v>16</v>
      </c>
      <c r="E6" s="13" t="s">
        <v>7</v>
      </c>
    </row>
    <row r="7" spans="1:6" x14ac:dyDescent="0.25">
      <c r="A7" s="14"/>
      <c r="B7" s="14" t="str">
        <f>IF(AND(C7&lt;&gt;"",D7&lt;&gt;""),C7&amp;"."&amp;D7,"")</f>
        <v/>
      </c>
      <c r="C7" s="14" t="str">
        <f>IF('Incoming XMTL'!B4&lt;&gt;"",'Incoming XMTL'!B4,"")</f>
        <v/>
      </c>
      <c r="D7" s="14" t="str">
        <f>IF($B$4&lt;&gt;"",$B$4,"")</f>
        <v/>
      </c>
      <c r="E7" s="14" t="str">
        <f>IF(B7&lt;&gt;"","EDMS.XMTL","")</f>
        <v/>
      </c>
    </row>
    <row r="9" spans="1:6" x14ac:dyDescent="0.25">
      <c r="A9" s="13" t="s">
        <v>343</v>
      </c>
      <c r="B9" s="13" t="s">
        <v>3</v>
      </c>
      <c r="C9" s="13" t="s">
        <v>14</v>
      </c>
      <c r="D9" s="13" t="s">
        <v>16</v>
      </c>
      <c r="E9" s="13" t="s">
        <v>7</v>
      </c>
    </row>
  </sheetData>
  <pageMargins left="0.75" right="0.75" top="1" bottom="1" header="0.5" footer="0.5"/>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tint="4.9989318521683403E-2"/>
  </sheetPr>
  <dimension ref="A1:H239"/>
  <sheetViews>
    <sheetView showGridLines="0" topLeftCell="A223" workbookViewId="0">
      <selection activeCell="B242" sqref="B242"/>
    </sheetView>
  </sheetViews>
  <sheetFormatPr defaultColWidth="89.7109375" defaultRowHeight="15" x14ac:dyDescent="0.25"/>
  <cols>
    <col min="1" max="2" width="38.5703125" bestFit="1" customWidth="1"/>
    <col min="3" max="3" width="25" bestFit="1" customWidth="1"/>
    <col min="4" max="4" width="39" customWidth="1"/>
    <col min="5" max="5" width="15" customWidth="1"/>
    <col min="6" max="6" width="20.28515625" bestFit="1" customWidth="1"/>
    <col min="7" max="8" width="15.7109375" customWidth="1"/>
  </cols>
  <sheetData>
    <row r="1" spans="1:8" s="10" customFormat="1" x14ac:dyDescent="0.25">
      <c r="A1" s="10" t="s">
        <v>121</v>
      </c>
      <c r="D1" s="40"/>
      <c r="E1" s="11"/>
      <c r="H1" s="11"/>
    </row>
    <row r="2" spans="1:8" s="3" customFormat="1" x14ac:dyDescent="0.25">
      <c r="D2" s="41"/>
      <c r="E2" s="12"/>
      <c r="H2" s="12"/>
    </row>
    <row r="3" spans="1:8" s="3" customFormat="1" x14ac:dyDescent="0.25">
      <c r="A3" s="13" t="s">
        <v>122</v>
      </c>
      <c r="B3" s="13" t="s">
        <v>123</v>
      </c>
      <c r="C3" s="13" t="s">
        <v>124</v>
      </c>
      <c r="D3" s="13" t="s">
        <v>125</v>
      </c>
      <c r="E3" s="13" t="s">
        <v>126</v>
      </c>
      <c r="F3" s="13" t="s">
        <v>127</v>
      </c>
      <c r="G3" s="13" t="s">
        <v>128</v>
      </c>
      <c r="H3" s="13" t="s">
        <v>129</v>
      </c>
    </row>
    <row r="4" spans="1:8" s="18" customFormat="1" x14ac:dyDescent="0.25">
      <c r="A4" s="14" t="s">
        <v>2</v>
      </c>
      <c r="B4" s="14" t="s">
        <v>2</v>
      </c>
      <c r="C4" s="15" t="s">
        <v>130</v>
      </c>
      <c r="D4" s="42" t="s">
        <v>131</v>
      </c>
      <c r="E4" s="16"/>
      <c r="F4" s="14"/>
      <c r="G4" s="14"/>
      <c r="H4" s="17"/>
    </row>
    <row r="5" spans="1:8" s="18" customFormat="1" x14ac:dyDescent="0.25">
      <c r="A5" s="14" t="s">
        <v>9</v>
      </c>
      <c r="B5" s="14" t="s">
        <v>9</v>
      </c>
      <c r="C5" s="15" t="s">
        <v>130</v>
      </c>
      <c r="D5" s="42" t="s">
        <v>132</v>
      </c>
      <c r="E5" s="16"/>
      <c r="F5" s="14"/>
      <c r="G5" s="14"/>
      <c r="H5" s="17"/>
    </row>
    <row r="6" spans="1:8" s="18" customFormat="1" x14ac:dyDescent="0.25">
      <c r="A6" s="14" t="s">
        <v>13</v>
      </c>
      <c r="B6" s="14" t="s">
        <v>13</v>
      </c>
      <c r="C6" s="15" t="s">
        <v>133</v>
      </c>
      <c r="D6" s="42"/>
      <c r="E6" s="16"/>
      <c r="F6" s="14"/>
      <c r="G6" s="14"/>
      <c r="H6" s="17"/>
    </row>
    <row r="7" spans="1:8" s="18" customFormat="1" x14ac:dyDescent="0.25">
      <c r="A7" s="14" t="s">
        <v>21</v>
      </c>
      <c r="B7" s="14" t="s">
        <v>21</v>
      </c>
      <c r="C7" s="15" t="s">
        <v>130</v>
      </c>
      <c r="D7" s="42" t="s">
        <v>134</v>
      </c>
      <c r="E7" s="16"/>
      <c r="F7" s="14"/>
      <c r="G7" s="14"/>
      <c r="H7" s="17"/>
    </row>
    <row r="8" spans="1:8" s="18" customFormat="1" x14ac:dyDescent="0.25">
      <c r="A8" s="14" t="s">
        <v>30</v>
      </c>
      <c r="B8" s="14" t="s">
        <v>30</v>
      </c>
      <c r="C8" s="15" t="s">
        <v>133</v>
      </c>
      <c r="D8" s="42"/>
      <c r="E8" s="16"/>
      <c r="F8" s="14"/>
      <c r="G8" s="14"/>
      <c r="H8" s="17"/>
    </row>
    <row r="9" spans="1:8" s="18" customFormat="1" x14ac:dyDescent="0.25">
      <c r="A9" s="14" t="s">
        <v>33</v>
      </c>
      <c r="B9" s="14" t="s">
        <v>33</v>
      </c>
      <c r="C9" s="15" t="s">
        <v>133</v>
      </c>
      <c r="D9" s="42"/>
      <c r="E9" s="16"/>
      <c r="F9" s="14"/>
      <c r="G9" s="14"/>
      <c r="H9" s="17"/>
    </row>
    <row r="10" spans="1:8" s="18" customFormat="1" x14ac:dyDescent="0.25">
      <c r="A10" s="14" t="s">
        <v>35</v>
      </c>
      <c r="B10" s="14" t="s">
        <v>35</v>
      </c>
      <c r="C10" s="15" t="s">
        <v>133</v>
      </c>
      <c r="D10" s="42"/>
      <c r="E10" s="16"/>
      <c r="F10" s="14"/>
      <c r="G10" s="14"/>
      <c r="H10" s="17"/>
    </row>
    <row r="11" spans="1:8" s="18" customFormat="1" x14ac:dyDescent="0.25">
      <c r="A11" s="14" t="s">
        <v>36</v>
      </c>
      <c r="B11" s="14" t="s">
        <v>36</v>
      </c>
      <c r="C11" s="15" t="s">
        <v>133</v>
      </c>
      <c r="D11" s="42"/>
      <c r="E11" s="16"/>
      <c r="F11" s="14"/>
      <c r="G11" s="14"/>
      <c r="H11" s="17"/>
    </row>
    <row r="12" spans="1:8" s="18" customFormat="1" x14ac:dyDescent="0.25">
      <c r="A12" s="14" t="s">
        <v>39</v>
      </c>
      <c r="B12" s="14" t="s">
        <v>39</v>
      </c>
      <c r="C12" s="15" t="s">
        <v>133</v>
      </c>
      <c r="D12" s="42"/>
      <c r="E12" s="16"/>
      <c r="F12" s="14"/>
      <c r="G12" s="14"/>
      <c r="H12" s="17"/>
    </row>
    <row r="13" spans="1:8" s="18" customFormat="1" x14ac:dyDescent="0.25">
      <c r="A13" s="14" t="s">
        <v>40</v>
      </c>
      <c r="B13" s="14" t="s">
        <v>40</v>
      </c>
      <c r="C13" s="15" t="s">
        <v>133</v>
      </c>
      <c r="D13" s="42"/>
      <c r="E13" s="16"/>
      <c r="F13" s="14"/>
      <c r="G13" s="14"/>
      <c r="H13" s="17"/>
    </row>
    <row r="14" spans="1:8" s="18" customFormat="1" x14ac:dyDescent="0.25">
      <c r="A14" s="14" t="s">
        <v>42</v>
      </c>
      <c r="B14" s="14" t="s">
        <v>42</v>
      </c>
      <c r="C14" s="15" t="s">
        <v>133</v>
      </c>
      <c r="D14" s="42"/>
      <c r="E14" s="16"/>
      <c r="F14" s="14"/>
      <c r="G14" s="14"/>
      <c r="H14" s="17"/>
    </row>
    <row r="15" spans="1:8" s="18" customFormat="1" x14ac:dyDescent="0.25">
      <c r="A15" s="14" t="s">
        <v>43</v>
      </c>
      <c r="B15" s="14" t="s">
        <v>43</v>
      </c>
      <c r="C15" s="15" t="s">
        <v>130</v>
      </c>
      <c r="D15" s="42" t="s">
        <v>135</v>
      </c>
      <c r="E15" s="16"/>
      <c r="F15" s="14"/>
      <c r="G15" s="14"/>
      <c r="H15" s="17"/>
    </row>
    <row r="16" spans="1:8" s="18" customFormat="1" x14ac:dyDescent="0.25">
      <c r="A16" s="14" t="s">
        <v>46</v>
      </c>
      <c r="B16" s="14" t="s">
        <v>46</v>
      </c>
      <c r="C16" s="15" t="s">
        <v>130</v>
      </c>
      <c r="D16" s="42" t="s">
        <v>136</v>
      </c>
      <c r="E16" s="16"/>
      <c r="F16" s="14"/>
      <c r="G16" s="14"/>
      <c r="H16" s="17"/>
    </row>
    <row r="17" spans="1:8" s="18" customFormat="1" x14ac:dyDescent="0.25">
      <c r="A17" s="14" t="s">
        <v>49</v>
      </c>
      <c r="B17" s="14" t="s">
        <v>49</v>
      </c>
      <c r="C17" s="15" t="s">
        <v>133</v>
      </c>
      <c r="D17" s="42"/>
      <c r="E17" s="16"/>
      <c r="F17" s="14"/>
      <c r="G17" s="14"/>
      <c r="H17" s="17"/>
    </row>
    <row r="18" spans="1:8" s="18" customFormat="1" x14ac:dyDescent="0.25">
      <c r="A18" s="14" t="s">
        <v>52</v>
      </c>
      <c r="B18" s="14" t="s">
        <v>52</v>
      </c>
      <c r="C18" s="15" t="s">
        <v>133</v>
      </c>
      <c r="D18" s="42"/>
      <c r="E18" s="16"/>
      <c r="F18" s="14"/>
      <c r="G18" s="14"/>
      <c r="H18" s="17"/>
    </row>
    <row r="19" spans="1:8" s="18" customFormat="1" x14ac:dyDescent="0.25">
      <c r="A19" s="14" t="s">
        <v>53</v>
      </c>
      <c r="B19" s="14" t="s">
        <v>53</v>
      </c>
      <c r="C19" s="15" t="s">
        <v>130</v>
      </c>
      <c r="D19" s="42" t="s">
        <v>137</v>
      </c>
      <c r="E19" s="16"/>
      <c r="F19" s="14"/>
      <c r="G19" s="14"/>
      <c r="H19" s="17"/>
    </row>
    <row r="20" spans="1:8" s="18" customFormat="1" x14ac:dyDescent="0.25">
      <c r="A20" s="14" t="s">
        <v>58</v>
      </c>
      <c r="B20" s="14" t="s">
        <v>58</v>
      </c>
      <c r="C20" s="15" t="s">
        <v>133</v>
      </c>
      <c r="D20" s="42"/>
      <c r="E20" s="16"/>
      <c r="F20" s="14"/>
      <c r="G20" s="14"/>
      <c r="H20" s="17"/>
    </row>
    <row r="21" spans="1:8" s="18" customFormat="1" x14ac:dyDescent="0.25">
      <c r="A21" s="14" t="s">
        <v>61</v>
      </c>
      <c r="B21" s="14" t="s">
        <v>61</v>
      </c>
      <c r="C21" s="15" t="s">
        <v>133</v>
      </c>
      <c r="D21" s="42"/>
      <c r="E21" s="16"/>
      <c r="F21" s="14"/>
      <c r="G21" s="14"/>
      <c r="H21" s="17"/>
    </row>
    <row r="22" spans="1:8" s="18" customFormat="1" x14ac:dyDescent="0.25">
      <c r="A22" s="14" t="s">
        <v>64</v>
      </c>
      <c r="B22" s="14" t="s">
        <v>64</v>
      </c>
      <c r="C22" s="15" t="s">
        <v>130</v>
      </c>
      <c r="D22" s="42" t="s">
        <v>138</v>
      </c>
      <c r="E22" s="16"/>
      <c r="F22" s="14"/>
      <c r="G22" s="14"/>
      <c r="H22" s="17"/>
    </row>
    <row r="23" spans="1:8" s="18" customFormat="1" x14ac:dyDescent="0.25">
      <c r="A23" s="14" t="s">
        <v>96</v>
      </c>
      <c r="B23" s="14" t="s">
        <v>96</v>
      </c>
      <c r="C23" s="15" t="s">
        <v>133</v>
      </c>
      <c r="D23" s="42"/>
      <c r="E23" s="16"/>
      <c r="F23" s="14"/>
      <c r="G23" s="14"/>
      <c r="H23" s="17"/>
    </row>
    <row r="24" spans="1:8" s="18" customFormat="1" x14ac:dyDescent="0.25">
      <c r="A24" s="14" t="s">
        <v>98</v>
      </c>
      <c r="B24" s="14" t="s">
        <v>98</v>
      </c>
      <c r="C24" s="15" t="s">
        <v>130</v>
      </c>
      <c r="D24" s="42" t="s">
        <v>139</v>
      </c>
      <c r="E24" s="16"/>
      <c r="F24" s="14"/>
      <c r="G24" s="14"/>
      <c r="H24" s="17"/>
    </row>
    <row r="25" spans="1:8" s="18" customFormat="1" x14ac:dyDescent="0.25">
      <c r="A25" s="14" t="s">
        <v>105</v>
      </c>
      <c r="B25" s="14" t="s">
        <v>105</v>
      </c>
      <c r="C25" s="15" t="s">
        <v>133</v>
      </c>
      <c r="D25" s="42"/>
      <c r="E25" s="16"/>
      <c r="F25" s="14"/>
      <c r="G25" s="14"/>
      <c r="H25" s="17"/>
    </row>
    <row r="26" spans="1:8" s="18" customFormat="1" x14ac:dyDescent="0.25">
      <c r="A26" s="14" t="s">
        <v>107</v>
      </c>
      <c r="B26" s="14" t="s">
        <v>107</v>
      </c>
      <c r="C26" s="15" t="s">
        <v>133</v>
      </c>
      <c r="D26" s="42"/>
      <c r="E26" s="16"/>
      <c r="F26" s="14"/>
      <c r="G26" s="14"/>
      <c r="H26" s="17"/>
    </row>
    <row r="27" spans="1:8" s="18" customFormat="1" x14ac:dyDescent="0.25">
      <c r="A27" s="14" t="s">
        <v>109</v>
      </c>
      <c r="B27" s="14" t="s">
        <v>109</v>
      </c>
      <c r="C27" s="15" t="s">
        <v>130</v>
      </c>
      <c r="D27" s="42" t="s">
        <v>140</v>
      </c>
      <c r="E27" s="16"/>
      <c r="F27" s="14"/>
      <c r="G27" s="14"/>
      <c r="H27" s="17"/>
    </row>
    <row r="28" spans="1:8" s="18" customFormat="1" x14ac:dyDescent="0.25">
      <c r="A28" s="14" t="s">
        <v>112</v>
      </c>
      <c r="B28" s="14" t="s">
        <v>112</v>
      </c>
      <c r="C28" s="15" t="s">
        <v>133</v>
      </c>
      <c r="D28" s="42"/>
      <c r="E28" s="16"/>
      <c r="F28" s="14"/>
      <c r="G28" s="14"/>
      <c r="H28" s="17"/>
    </row>
    <row r="29" spans="1:8" s="18" customFormat="1" x14ac:dyDescent="0.25">
      <c r="A29" s="14" t="s">
        <v>113</v>
      </c>
      <c r="B29" s="14" t="s">
        <v>113</v>
      </c>
      <c r="C29" s="15" t="s">
        <v>130</v>
      </c>
      <c r="D29" s="42"/>
      <c r="E29" s="16"/>
      <c r="F29" s="14"/>
      <c r="G29" s="14"/>
      <c r="H29" s="17"/>
    </row>
    <row r="30" spans="1:8" s="18" customFormat="1" x14ac:dyDescent="0.25">
      <c r="A30" s="14" t="s">
        <v>120</v>
      </c>
      <c r="B30" s="14" t="s">
        <v>120</v>
      </c>
      <c r="C30" s="15" t="s">
        <v>133</v>
      </c>
      <c r="D30" s="42"/>
      <c r="E30" s="16"/>
      <c r="F30" s="14"/>
      <c r="G30" s="14"/>
      <c r="H30" s="17"/>
    </row>
    <row r="31" spans="1:8" s="18" customFormat="1" x14ac:dyDescent="0.25">
      <c r="A31" s="14" t="s">
        <v>3</v>
      </c>
      <c r="B31" s="14" t="s">
        <v>3</v>
      </c>
      <c r="C31" s="15" t="s">
        <v>141</v>
      </c>
      <c r="D31" s="42" t="s">
        <v>20</v>
      </c>
      <c r="E31" s="16"/>
      <c r="F31" s="14"/>
      <c r="G31" s="14"/>
      <c r="H31" s="17"/>
    </row>
    <row r="32" spans="1:8" s="18" customFormat="1" x14ac:dyDescent="0.25">
      <c r="A32" s="14" t="s">
        <v>4</v>
      </c>
      <c r="B32" s="14" t="s">
        <v>4</v>
      </c>
      <c r="C32" s="15" t="s">
        <v>141</v>
      </c>
      <c r="D32" s="42" t="s">
        <v>20</v>
      </c>
      <c r="E32" s="16"/>
      <c r="F32" s="14"/>
      <c r="G32" s="14"/>
      <c r="H32" s="17"/>
    </row>
    <row r="33" spans="1:8" s="18" customFormat="1" x14ac:dyDescent="0.25">
      <c r="A33" s="14" t="s">
        <v>5</v>
      </c>
      <c r="B33" s="14" t="s">
        <v>5</v>
      </c>
      <c r="C33" s="15" t="s">
        <v>141</v>
      </c>
      <c r="D33" s="42" t="s">
        <v>142</v>
      </c>
      <c r="E33" s="16"/>
      <c r="F33" s="14"/>
      <c r="G33" s="14"/>
      <c r="H33" s="17"/>
    </row>
    <row r="34" spans="1:8" s="18" customFormat="1" x14ac:dyDescent="0.25">
      <c r="A34" s="14" t="s">
        <v>6</v>
      </c>
      <c r="B34" s="14" t="s">
        <v>41</v>
      </c>
      <c r="C34" s="15" t="s">
        <v>141</v>
      </c>
      <c r="D34" s="42" t="s">
        <v>142</v>
      </c>
      <c r="E34" s="16"/>
      <c r="F34" s="14"/>
      <c r="G34" s="14"/>
      <c r="H34" s="17"/>
    </row>
    <row r="35" spans="1:8" s="18" customFormat="1" x14ac:dyDescent="0.25">
      <c r="A35" s="14" t="s">
        <v>7</v>
      </c>
      <c r="B35" s="14" t="s">
        <v>7</v>
      </c>
      <c r="C35" s="15" t="s">
        <v>7</v>
      </c>
      <c r="D35" s="42" t="s">
        <v>20</v>
      </c>
      <c r="E35" s="16"/>
      <c r="F35" s="14"/>
      <c r="G35" s="14"/>
      <c r="H35" s="17"/>
    </row>
    <row r="36" spans="1:8" s="18" customFormat="1" x14ac:dyDescent="0.25">
      <c r="A36" s="14" t="s">
        <v>8</v>
      </c>
      <c r="B36" s="14" t="s">
        <v>143</v>
      </c>
      <c r="C36" s="15" t="s">
        <v>143</v>
      </c>
      <c r="D36" s="42"/>
      <c r="E36" s="16"/>
      <c r="F36" s="14"/>
      <c r="G36" s="14"/>
      <c r="H36" s="17"/>
    </row>
    <row r="37" spans="1:8" s="18" customFormat="1" x14ac:dyDescent="0.25">
      <c r="A37" s="14" t="s">
        <v>10</v>
      </c>
      <c r="B37" s="14" t="s">
        <v>47</v>
      </c>
      <c r="C37" s="15" t="s">
        <v>141</v>
      </c>
      <c r="D37" s="42" t="s">
        <v>142</v>
      </c>
      <c r="E37" s="16"/>
      <c r="F37" s="14"/>
      <c r="G37" s="14"/>
      <c r="H37" s="17"/>
    </row>
    <row r="38" spans="1:8" s="18" customFormat="1" x14ac:dyDescent="0.25">
      <c r="A38" s="14" t="s">
        <v>11</v>
      </c>
      <c r="B38" s="14" t="s">
        <v>144</v>
      </c>
      <c r="C38" s="15" t="s">
        <v>141</v>
      </c>
      <c r="D38" s="42" t="s">
        <v>145</v>
      </c>
      <c r="E38" s="16"/>
      <c r="F38" s="14"/>
      <c r="G38" s="14"/>
      <c r="H38" s="17"/>
    </row>
    <row r="39" spans="1:8" s="18" customFormat="1" x14ac:dyDescent="0.25">
      <c r="A39" s="14" t="s">
        <v>14</v>
      </c>
      <c r="B39" s="14" t="s">
        <v>14</v>
      </c>
      <c r="C39" s="15" t="s">
        <v>141</v>
      </c>
      <c r="D39" s="42" t="s">
        <v>146</v>
      </c>
      <c r="E39" s="16"/>
      <c r="F39" s="14"/>
      <c r="G39" s="14"/>
      <c r="H39" s="17"/>
    </row>
    <row r="40" spans="1:8" s="18" customFormat="1" x14ac:dyDescent="0.25">
      <c r="A40" s="14" t="s">
        <v>15</v>
      </c>
      <c r="B40" s="14" t="s">
        <v>147</v>
      </c>
      <c r="C40" s="15" t="s">
        <v>148</v>
      </c>
      <c r="D40" s="42"/>
      <c r="E40" s="16"/>
      <c r="F40" s="14"/>
      <c r="G40" s="14"/>
      <c r="H40" s="17"/>
    </row>
    <row r="41" spans="1:8" s="18" customFormat="1" x14ac:dyDescent="0.25">
      <c r="A41" s="14" t="s">
        <v>16</v>
      </c>
      <c r="B41" s="14" t="s">
        <v>16</v>
      </c>
      <c r="C41" s="15" t="s">
        <v>141</v>
      </c>
      <c r="D41" s="42" t="s">
        <v>146</v>
      </c>
      <c r="E41" s="16"/>
      <c r="F41" s="14"/>
      <c r="G41" s="14"/>
      <c r="H41" s="17"/>
    </row>
    <row r="42" spans="1:8" s="18" customFormat="1" x14ac:dyDescent="0.25">
      <c r="A42" s="14" t="s">
        <v>17</v>
      </c>
      <c r="B42" s="14" t="s">
        <v>149</v>
      </c>
      <c r="C42" s="15" t="s">
        <v>148</v>
      </c>
      <c r="D42" s="42"/>
      <c r="E42" s="16"/>
      <c r="F42" s="14"/>
      <c r="G42" s="14"/>
      <c r="H42" s="17"/>
    </row>
    <row r="43" spans="1:8" s="18" customFormat="1" x14ac:dyDescent="0.25">
      <c r="A43" s="14" t="s">
        <v>150</v>
      </c>
      <c r="B43" s="14" t="s">
        <v>150</v>
      </c>
      <c r="C43" s="15" t="s">
        <v>141</v>
      </c>
      <c r="D43" s="42" t="s">
        <v>146</v>
      </c>
      <c r="E43" s="16"/>
      <c r="F43" s="14"/>
      <c r="G43" s="14"/>
      <c r="H43" s="17"/>
    </row>
    <row r="44" spans="1:8" s="18" customFormat="1" x14ac:dyDescent="0.25">
      <c r="A44" s="14" t="s">
        <v>18</v>
      </c>
      <c r="B44" s="14" t="s">
        <v>18</v>
      </c>
      <c r="C44" s="15" t="s">
        <v>141</v>
      </c>
      <c r="D44" s="42" t="s">
        <v>146</v>
      </c>
      <c r="E44" s="16"/>
      <c r="F44" s="14"/>
      <c r="G44" s="14"/>
      <c r="H44" s="17"/>
    </row>
    <row r="45" spans="1:8" s="18" customFormat="1" x14ac:dyDescent="0.25">
      <c r="A45" s="14" t="s">
        <v>19</v>
      </c>
      <c r="B45" s="14" t="s">
        <v>19</v>
      </c>
      <c r="C45" s="15" t="s">
        <v>141</v>
      </c>
      <c r="D45" s="42" t="s">
        <v>146</v>
      </c>
      <c r="E45" s="16"/>
      <c r="F45" s="14"/>
      <c r="G45" s="14"/>
      <c r="H45" s="17"/>
    </row>
    <row r="46" spans="1:8" s="18" customFormat="1" x14ac:dyDescent="0.25">
      <c r="A46" s="14" t="s">
        <v>22</v>
      </c>
      <c r="B46" s="14" t="s">
        <v>151</v>
      </c>
      <c r="C46" s="15" t="s">
        <v>141</v>
      </c>
      <c r="D46" s="42" t="s">
        <v>152</v>
      </c>
      <c r="E46" s="16"/>
      <c r="F46" s="14"/>
      <c r="G46" s="14"/>
      <c r="H46" s="17"/>
    </row>
    <row r="47" spans="1:8" s="18" customFormat="1" x14ac:dyDescent="0.25">
      <c r="A47" s="14" t="s">
        <v>23</v>
      </c>
      <c r="B47" s="14" t="s">
        <v>153</v>
      </c>
      <c r="C47" s="15" t="s">
        <v>141</v>
      </c>
      <c r="D47" s="42" t="s">
        <v>152</v>
      </c>
      <c r="E47" s="16"/>
      <c r="F47" s="14"/>
      <c r="G47" s="14"/>
      <c r="H47" s="17"/>
    </row>
    <row r="48" spans="1:8" s="18" customFormat="1" x14ac:dyDescent="0.25">
      <c r="A48" s="14" t="s">
        <v>24</v>
      </c>
      <c r="B48" s="14" t="s">
        <v>30</v>
      </c>
      <c r="C48" s="15" t="s">
        <v>154</v>
      </c>
      <c r="D48" s="42" t="s">
        <v>155</v>
      </c>
      <c r="E48" s="16"/>
      <c r="F48" s="14"/>
      <c r="G48" s="14"/>
      <c r="H48" s="17"/>
    </row>
    <row r="49" spans="1:8" s="18" customFormat="1" x14ac:dyDescent="0.25">
      <c r="A49" s="14" t="s">
        <v>25</v>
      </c>
      <c r="B49" s="14" t="s">
        <v>33</v>
      </c>
      <c r="C49" s="15" t="s">
        <v>154</v>
      </c>
      <c r="D49" s="42" t="s">
        <v>156</v>
      </c>
      <c r="E49" s="16"/>
      <c r="F49" s="14"/>
      <c r="G49" s="14"/>
      <c r="H49" s="17"/>
    </row>
    <row r="50" spans="1:8" s="18" customFormat="1" x14ac:dyDescent="0.25">
      <c r="A50" s="14" t="s">
        <v>26</v>
      </c>
      <c r="B50" s="14" t="s">
        <v>36</v>
      </c>
      <c r="C50" s="15" t="s">
        <v>154</v>
      </c>
      <c r="D50" s="42" t="s">
        <v>157</v>
      </c>
      <c r="E50" s="16"/>
      <c r="F50" s="14"/>
      <c r="G50" s="14"/>
      <c r="H50" s="17"/>
    </row>
    <row r="51" spans="1:8" s="18" customFormat="1" x14ac:dyDescent="0.25">
      <c r="A51" s="14" t="s">
        <v>27</v>
      </c>
      <c r="B51" s="14" t="s">
        <v>35</v>
      </c>
      <c r="C51" s="15" t="s">
        <v>154</v>
      </c>
      <c r="D51" s="42" t="s">
        <v>158</v>
      </c>
      <c r="E51" s="16"/>
      <c r="F51" s="14"/>
      <c r="G51" s="14"/>
      <c r="H51" s="17"/>
    </row>
    <row r="52" spans="1:8" s="18" customFormat="1" x14ac:dyDescent="0.25">
      <c r="A52" s="14" t="s">
        <v>28</v>
      </c>
      <c r="B52" s="14" t="s">
        <v>28</v>
      </c>
      <c r="C52" s="15" t="s">
        <v>141</v>
      </c>
      <c r="D52" s="42" t="s">
        <v>152</v>
      </c>
      <c r="E52" s="16"/>
      <c r="F52" s="14"/>
      <c r="G52" s="14"/>
      <c r="H52" s="17"/>
    </row>
    <row r="53" spans="1:8" s="18" customFormat="1" x14ac:dyDescent="0.25">
      <c r="A53" s="14" t="s">
        <v>31</v>
      </c>
      <c r="B53" s="14" t="s">
        <v>147</v>
      </c>
      <c r="C53" s="15" t="s">
        <v>148</v>
      </c>
      <c r="D53" s="42"/>
      <c r="E53" s="16"/>
      <c r="F53" s="14"/>
      <c r="G53" s="14"/>
      <c r="H53" s="17"/>
    </row>
    <row r="54" spans="1:8" s="18" customFormat="1" x14ac:dyDescent="0.25">
      <c r="A54" s="14" t="s">
        <v>32</v>
      </c>
      <c r="B54" s="14" t="s">
        <v>149</v>
      </c>
      <c r="C54" s="15" t="s">
        <v>148</v>
      </c>
      <c r="D54" s="42"/>
      <c r="E54" s="16"/>
      <c r="F54" s="14"/>
      <c r="G54" s="14"/>
      <c r="H54" s="17"/>
    </row>
    <row r="55" spans="1:8" s="18" customFormat="1" x14ac:dyDescent="0.25">
      <c r="A55" s="14" t="s">
        <v>34</v>
      </c>
      <c r="B55" s="14" t="s">
        <v>147</v>
      </c>
      <c r="C55" s="15" t="s">
        <v>148</v>
      </c>
      <c r="D55" s="42"/>
      <c r="E55" s="16"/>
      <c r="F55" s="14"/>
      <c r="G55" s="14"/>
      <c r="H55" s="17"/>
    </row>
    <row r="56" spans="1:8" s="18" customFormat="1" x14ac:dyDescent="0.25">
      <c r="A56" s="14" t="s">
        <v>37</v>
      </c>
      <c r="B56" s="14" t="s">
        <v>147</v>
      </c>
      <c r="C56" s="15" t="s">
        <v>148</v>
      </c>
      <c r="D56" s="42"/>
      <c r="E56" s="16"/>
      <c r="F56" s="14"/>
      <c r="G56" s="14"/>
      <c r="H56" s="17"/>
    </row>
    <row r="57" spans="1:8" s="18" customFormat="1" x14ac:dyDescent="0.25">
      <c r="A57" s="14" t="s">
        <v>38</v>
      </c>
      <c r="B57" s="14" t="s">
        <v>149</v>
      </c>
      <c r="C57" s="15" t="s">
        <v>148</v>
      </c>
      <c r="D57" s="42"/>
      <c r="E57" s="16"/>
      <c r="F57" s="14"/>
      <c r="G57" s="14"/>
      <c r="H57" s="17"/>
    </row>
    <row r="58" spans="1:8" s="18" customFormat="1" x14ac:dyDescent="0.25">
      <c r="A58" s="14" t="s">
        <v>41</v>
      </c>
      <c r="B58" s="14" t="s">
        <v>41</v>
      </c>
      <c r="C58" s="15" t="s">
        <v>141</v>
      </c>
      <c r="D58" s="42" t="s">
        <v>142</v>
      </c>
      <c r="E58" s="16"/>
      <c r="F58" s="14"/>
      <c r="G58" s="14"/>
      <c r="H58" s="17"/>
    </row>
    <row r="59" spans="1:8" s="18" customFormat="1" x14ac:dyDescent="0.25">
      <c r="A59" s="14" t="s">
        <v>44</v>
      </c>
      <c r="B59" s="14" t="s">
        <v>48</v>
      </c>
      <c r="C59" s="15" t="s">
        <v>141</v>
      </c>
      <c r="D59" s="42" t="s">
        <v>159</v>
      </c>
      <c r="E59" s="16"/>
      <c r="F59" s="14"/>
      <c r="G59" s="14"/>
      <c r="H59" s="17"/>
    </row>
    <row r="60" spans="1:8" s="18" customFormat="1" x14ac:dyDescent="0.25">
      <c r="A60" s="14" t="s">
        <v>45</v>
      </c>
      <c r="B60" s="14" t="s">
        <v>45</v>
      </c>
      <c r="C60" s="15" t="s">
        <v>141</v>
      </c>
      <c r="D60" s="42" t="s">
        <v>160</v>
      </c>
      <c r="E60" s="16"/>
      <c r="F60" s="14"/>
      <c r="G60" s="14"/>
      <c r="H60" s="17"/>
    </row>
    <row r="61" spans="1:8" s="18" customFormat="1" x14ac:dyDescent="0.25">
      <c r="A61" s="14" t="s">
        <v>47</v>
      </c>
      <c r="B61" s="14" t="s">
        <v>47</v>
      </c>
      <c r="C61" s="15" t="s">
        <v>141</v>
      </c>
      <c r="D61" s="42" t="s">
        <v>142</v>
      </c>
      <c r="E61" s="16"/>
      <c r="F61" s="14"/>
      <c r="G61" s="14"/>
      <c r="H61" s="17"/>
    </row>
    <row r="62" spans="1:8" s="18" customFormat="1" x14ac:dyDescent="0.25">
      <c r="A62" s="14" t="s">
        <v>48</v>
      </c>
      <c r="B62" s="14" t="s">
        <v>48</v>
      </c>
      <c r="C62" s="15" t="s">
        <v>141</v>
      </c>
      <c r="D62" s="42" t="s">
        <v>159</v>
      </c>
      <c r="E62" s="16"/>
      <c r="F62" s="14"/>
      <c r="G62" s="14"/>
      <c r="H62" s="17"/>
    </row>
    <row r="63" spans="1:8" s="18" customFormat="1" x14ac:dyDescent="0.25">
      <c r="A63" s="14" t="s">
        <v>50</v>
      </c>
      <c r="B63" s="14" t="s">
        <v>147</v>
      </c>
      <c r="C63" s="15" t="s">
        <v>148</v>
      </c>
      <c r="D63" s="42"/>
      <c r="E63" s="16"/>
      <c r="F63" s="14"/>
      <c r="G63" s="14"/>
      <c r="H63" s="17"/>
    </row>
    <row r="64" spans="1:8" s="18" customFormat="1" x14ac:dyDescent="0.25">
      <c r="A64" s="14" t="s">
        <v>51</v>
      </c>
      <c r="B64" s="14" t="s">
        <v>149</v>
      </c>
      <c r="C64" s="15" t="s">
        <v>148</v>
      </c>
      <c r="D64" s="42"/>
      <c r="E64" s="16"/>
      <c r="F64" s="14"/>
      <c r="G64" s="14"/>
      <c r="H64" s="17"/>
    </row>
    <row r="65" spans="1:8" s="18" customFormat="1" x14ac:dyDescent="0.25">
      <c r="A65" s="14" t="s">
        <v>54</v>
      </c>
      <c r="B65" s="14" t="s">
        <v>61</v>
      </c>
      <c r="C65" s="15" t="s">
        <v>154</v>
      </c>
      <c r="D65" s="42" t="s">
        <v>161</v>
      </c>
      <c r="E65" s="16"/>
      <c r="F65" s="14"/>
      <c r="G65" s="14"/>
      <c r="H65" s="17"/>
    </row>
    <row r="66" spans="1:8" s="18" customFormat="1" x14ac:dyDescent="0.25">
      <c r="A66" s="14" t="s">
        <v>55</v>
      </c>
      <c r="B66" s="14" t="s">
        <v>58</v>
      </c>
      <c r="C66" s="15" t="s">
        <v>154</v>
      </c>
      <c r="D66" s="42" t="s">
        <v>162</v>
      </c>
      <c r="E66" s="16"/>
      <c r="F66" s="14"/>
      <c r="G66" s="14"/>
      <c r="H66" s="17"/>
    </row>
    <row r="67" spans="1:8" s="18" customFormat="1" x14ac:dyDescent="0.25">
      <c r="A67" s="14" t="s">
        <v>56</v>
      </c>
      <c r="B67" s="14" t="s">
        <v>56</v>
      </c>
      <c r="C67" s="15" t="s">
        <v>141</v>
      </c>
      <c r="D67" s="42" t="s">
        <v>163</v>
      </c>
      <c r="E67" s="16"/>
      <c r="F67" s="14"/>
      <c r="G67" s="14"/>
      <c r="H67" s="17"/>
    </row>
    <row r="68" spans="1:8" s="18" customFormat="1" x14ac:dyDescent="0.25">
      <c r="A68" s="14" t="s">
        <v>59</v>
      </c>
      <c r="B68" s="14" t="s">
        <v>147</v>
      </c>
      <c r="C68" s="15" t="s">
        <v>148</v>
      </c>
      <c r="D68" s="42"/>
      <c r="E68" s="16"/>
      <c r="F68" s="14"/>
      <c r="G68" s="14"/>
      <c r="H68" s="17"/>
    </row>
    <row r="69" spans="1:8" s="18" customFormat="1" x14ac:dyDescent="0.25">
      <c r="A69" s="14" t="s">
        <v>60</v>
      </c>
      <c r="B69" s="14" t="s">
        <v>149</v>
      </c>
      <c r="C69" s="15" t="s">
        <v>148</v>
      </c>
      <c r="D69" s="42"/>
      <c r="E69" s="16"/>
      <c r="F69" s="14"/>
      <c r="G69" s="14"/>
      <c r="H69" s="17"/>
    </row>
    <row r="70" spans="1:8" s="18" customFormat="1" x14ac:dyDescent="0.25">
      <c r="A70" s="14" t="s">
        <v>62</v>
      </c>
      <c r="B70" s="14" t="s">
        <v>147</v>
      </c>
      <c r="C70" s="15" t="s">
        <v>148</v>
      </c>
      <c r="D70" s="42"/>
      <c r="E70" s="16"/>
      <c r="F70" s="14"/>
      <c r="G70" s="14"/>
      <c r="H70" s="17"/>
    </row>
    <row r="71" spans="1:8" s="18" customFormat="1" x14ac:dyDescent="0.25">
      <c r="A71" s="14" t="s">
        <v>63</v>
      </c>
      <c r="B71" s="14" t="s">
        <v>149</v>
      </c>
      <c r="C71" s="15" t="s">
        <v>148</v>
      </c>
      <c r="D71" s="42"/>
      <c r="E71" s="16"/>
      <c r="F71" s="14"/>
      <c r="G71" s="14"/>
      <c r="H71" s="17"/>
    </row>
    <row r="72" spans="1:8" s="18" customFormat="1" x14ac:dyDescent="0.25">
      <c r="A72" s="14" t="s">
        <v>65</v>
      </c>
      <c r="B72" s="14" t="s">
        <v>164</v>
      </c>
      <c r="C72" s="15" t="s">
        <v>141</v>
      </c>
      <c r="D72" s="42" t="s">
        <v>165</v>
      </c>
      <c r="E72" s="16"/>
      <c r="F72" s="14"/>
      <c r="G72" s="14"/>
      <c r="H72" s="17"/>
    </row>
    <row r="73" spans="1:8" s="18" customFormat="1" x14ac:dyDescent="0.25">
      <c r="A73" s="14" t="s">
        <v>66</v>
      </c>
      <c r="B73" s="14" t="s">
        <v>166</v>
      </c>
      <c r="C73" s="15" t="s">
        <v>141</v>
      </c>
      <c r="D73" s="42" t="s">
        <v>165</v>
      </c>
      <c r="E73" s="16"/>
      <c r="F73" s="14"/>
      <c r="G73" s="14"/>
      <c r="H73" s="17"/>
    </row>
    <row r="74" spans="1:8" s="18" customFormat="1" x14ac:dyDescent="0.25">
      <c r="A74" s="14" t="s">
        <v>67</v>
      </c>
      <c r="B74" s="14" t="s">
        <v>167</v>
      </c>
      <c r="C74" s="15" t="s">
        <v>141</v>
      </c>
      <c r="D74" s="42" t="s">
        <v>165</v>
      </c>
      <c r="E74" s="16"/>
      <c r="F74" s="14"/>
      <c r="G74" s="14"/>
      <c r="H74" s="17"/>
    </row>
    <row r="75" spans="1:8" s="18" customFormat="1" x14ac:dyDescent="0.25">
      <c r="A75" s="14" t="s">
        <v>68</v>
      </c>
      <c r="B75" s="14" t="s">
        <v>168</v>
      </c>
      <c r="C75" s="15" t="s">
        <v>141</v>
      </c>
      <c r="D75" s="42" t="s">
        <v>165</v>
      </c>
      <c r="E75" s="16"/>
      <c r="F75" s="14"/>
      <c r="G75" s="14"/>
      <c r="H75" s="17"/>
    </row>
    <row r="76" spans="1:8" s="18" customFormat="1" x14ac:dyDescent="0.25">
      <c r="A76" s="14" t="s">
        <v>69</v>
      </c>
      <c r="B76" s="14" t="s">
        <v>169</v>
      </c>
      <c r="C76" s="15" t="s">
        <v>141</v>
      </c>
      <c r="D76" s="42" t="s">
        <v>165</v>
      </c>
      <c r="E76" s="16"/>
      <c r="F76" s="14"/>
      <c r="G76" s="14"/>
      <c r="H76" s="17"/>
    </row>
    <row r="77" spans="1:8" s="18" customFormat="1" x14ac:dyDescent="0.25">
      <c r="A77" s="14" t="s">
        <v>70</v>
      </c>
      <c r="B77" s="14" t="s">
        <v>170</v>
      </c>
      <c r="C77" s="15" t="s">
        <v>141</v>
      </c>
      <c r="D77" s="42" t="s">
        <v>165</v>
      </c>
      <c r="E77" s="16"/>
      <c r="F77" s="14"/>
      <c r="G77" s="14"/>
      <c r="H77" s="17"/>
    </row>
    <row r="78" spans="1:8" s="18" customFormat="1" x14ac:dyDescent="0.25">
      <c r="A78" s="14" t="s">
        <v>71</v>
      </c>
      <c r="B78" s="14" t="s">
        <v>171</v>
      </c>
      <c r="C78" s="15" t="s">
        <v>141</v>
      </c>
      <c r="D78" s="42" t="s">
        <v>165</v>
      </c>
      <c r="E78" s="16"/>
      <c r="F78" s="14"/>
      <c r="G78" s="14"/>
      <c r="H78" s="17"/>
    </row>
    <row r="79" spans="1:8" s="18" customFormat="1" x14ac:dyDescent="0.25">
      <c r="A79" s="14" t="s">
        <v>72</v>
      </c>
      <c r="B79" s="14" t="s">
        <v>72</v>
      </c>
      <c r="C79" s="15" t="s">
        <v>141</v>
      </c>
      <c r="D79" s="42" t="s">
        <v>165</v>
      </c>
      <c r="E79" s="16"/>
      <c r="F79" s="14"/>
      <c r="G79" s="14"/>
      <c r="H79" s="17"/>
    </row>
    <row r="80" spans="1:8" s="18" customFormat="1" x14ac:dyDescent="0.25">
      <c r="A80" s="14" t="s">
        <v>73</v>
      </c>
      <c r="B80" s="14" t="s">
        <v>172</v>
      </c>
      <c r="C80" s="15" t="s">
        <v>141</v>
      </c>
      <c r="D80" s="42" t="s">
        <v>165</v>
      </c>
      <c r="E80" s="16"/>
      <c r="F80" s="14"/>
      <c r="G80" s="14"/>
      <c r="H80" s="17"/>
    </row>
    <row r="81" spans="1:8" s="18" customFormat="1" x14ac:dyDescent="0.25">
      <c r="A81" s="14" t="s">
        <v>74</v>
      </c>
      <c r="B81" s="14" t="s">
        <v>173</v>
      </c>
      <c r="C81" s="15" t="s">
        <v>141</v>
      </c>
      <c r="D81" s="42" t="s">
        <v>165</v>
      </c>
      <c r="E81" s="16"/>
      <c r="F81" s="14"/>
      <c r="G81" s="14"/>
      <c r="H81" s="17"/>
    </row>
    <row r="82" spans="1:8" s="18" customFormat="1" x14ac:dyDescent="0.25">
      <c r="A82" s="14" t="s">
        <v>75</v>
      </c>
      <c r="B82" s="14" t="s">
        <v>174</v>
      </c>
      <c r="C82" s="15" t="s">
        <v>141</v>
      </c>
      <c r="D82" s="42" t="s">
        <v>165</v>
      </c>
      <c r="E82" s="16"/>
      <c r="F82" s="14"/>
      <c r="G82" s="14"/>
      <c r="H82" s="17"/>
    </row>
    <row r="83" spans="1:8" s="18" customFormat="1" x14ac:dyDescent="0.25">
      <c r="A83" s="14" t="s">
        <v>76</v>
      </c>
      <c r="B83" s="14" t="s">
        <v>175</v>
      </c>
      <c r="C83" s="15" t="s">
        <v>141</v>
      </c>
      <c r="D83" s="42" t="s">
        <v>165</v>
      </c>
      <c r="E83" s="16"/>
      <c r="F83" s="14"/>
      <c r="G83" s="14"/>
      <c r="H83" s="17"/>
    </row>
    <row r="84" spans="1:8" s="18" customFormat="1" x14ac:dyDescent="0.25">
      <c r="A84" s="14" t="s">
        <v>77</v>
      </c>
      <c r="B84" s="14" t="s">
        <v>77</v>
      </c>
      <c r="C84" s="15" t="s">
        <v>141</v>
      </c>
      <c r="D84" s="42" t="s">
        <v>165</v>
      </c>
      <c r="E84" s="16"/>
      <c r="F84" s="14"/>
      <c r="G84" s="14"/>
      <c r="H84" s="17"/>
    </row>
    <row r="85" spans="1:8" s="18" customFormat="1" x14ac:dyDescent="0.25">
      <c r="A85" s="14" t="s">
        <v>78</v>
      </c>
      <c r="B85" s="14" t="s">
        <v>176</v>
      </c>
      <c r="C85" s="15" t="s">
        <v>141</v>
      </c>
      <c r="D85" s="42" t="s">
        <v>177</v>
      </c>
      <c r="E85" s="16"/>
      <c r="F85" s="14"/>
      <c r="G85" s="14"/>
      <c r="H85" s="17"/>
    </row>
    <row r="86" spans="1:8" s="18" customFormat="1" x14ac:dyDescent="0.25">
      <c r="A86" s="14" t="s">
        <v>79</v>
      </c>
      <c r="B86" s="14" t="s">
        <v>178</v>
      </c>
      <c r="C86" s="15" t="s">
        <v>141</v>
      </c>
      <c r="D86" s="42" t="s">
        <v>177</v>
      </c>
      <c r="E86" s="16"/>
      <c r="F86" s="14"/>
      <c r="G86" s="14"/>
      <c r="H86" s="17"/>
    </row>
    <row r="87" spans="1:8" s="18" customFormat="1" x14ac:dyDescent="0.25">
      <c r="A87" s="14" t="s">
        <v>80</v>
      </c>
      <c r="B87" s="14" t="s">
        <v>179</v>
      </c>
      <c r="C87" s="15" t="s">
        <v>141</v>
      </c>
      <c r="D87" s="42" t="s">
        <v>177</v>
      </c>
      <c r="E87" s="16"/>
      <c r="F87" s="14"/>
      <c r="G87" s="14"/>
      <c r="H87" s="17"/>
    </row>
    <row r="88" spans="1:8" s="18" customFormat="1" x14ac:dyDescent="0.25">
      <c r="A88" s="14" t="s">
        <v>81</v>
      </c>
      <c r="B88" s="14" t="s">
        <v>180</v>
      </c>
      <c r="C88" s="15" t="s">
        <v>141</v>
      </c>
      <c r="D88" s="42" t="s">
        <v>177</v>
      </c>
      <c r="E88" s="16"/>
      <c r="F88" s="14"/>
      <c r="G88" s="14"/>
      <c r="H88" s="17"/>
    </row>
    <row r="89" spans="1:8" s="18" customFormat="1" x14ac:dyDescent="0.25">
      <c r="A89" s="14" t="s">
        <v>82</v>
      </c>
      <c r="B89" s="14" t="s">
        <v>82</v>
      </c>
      <c r="C89" s="15" t="s">
        <v>141</v>
      </c>
      <c r="D89" s="42" t="s">
        <v>177</v>
      </c>
      <c r="E89" s="16"/>
      <c r="F89" s="14"/>
      <c r="G89" s="14"/>
      <c r="H89" s="17"/>
    </row>
    <row r="90" spans="1:8" s="18" customFormat="1" x14ac:dyDescent="0.25">
      <c r="A90" s="14" t="s">
        <v>83</v>
      </c>
      <c r="B90" s="14" t="s">
        <v>83</v>
      </c>
      <c r="C90" s="15" t="s">
        <v>141</v>
      </c>
      <c r="D90" s="42" t="s">
        <v>177</v>
      </c>
      <c r="E90" s="16"/>
      <c r="F90" s="14"/>
      <c r="G90" s="14"/>
      <c r="H90" s="17"/>
    </row>
    <row r="91" spans="1:8" s="18" customFormat="1" x14ac:dyDescent="0.25">
      <c r="A91" s="14" t="s">
        <v>84</v>
      </c>
      <c r="B91" s="14" t="s">
        <v>84</v>
      </c>
      <c r="C91" s="15" t="s">
        <v>141</v>
      </c>
      <c r="D91" s="42" t="s">
        <v>181</v>
      </c>
      <c r="E91" s="16"/>
      <c r="F91" s="14"/>
      <c r="G91" s="14"/>
      <c r="H91" s="17"/>
    </row>
    <row r="92" spans="1:8" s="18" customFormat="1" x14ac:dyDescent="0.25">
      <c r="A92" s="14" t="s">
        <v>85</v>
      </c>
      <c r="B92" s="14" t="s">
        <v>85</v>
      </c>
      <c r="C92" s="15" t="s">
        <v>141</v>
      </c>
      <c r="D92" s="42" t="s">
        <v>181</v>
      </c>
      <c r="E92" s="16"/>
      <c r="F92" s="14"/>
      <c r="G92" s="14"/>
      <c r="H92" s="17"/>
    </row>
    <row r="93" spans="1:8" s="18" customFormat="1" x14ac:dyDescent="0.25">
      <c r="A93" s="14" t="s">
        <v>86</v>
      </c>
      <c r="B93" s="14" t="s">
        <v>86</v>
      </c>
      <c r="C93" s="15" t="s">
        <v>141</v>
      </c>
      <c r="D93" s="42" t="s">
        <v>181</v>
      </c>
      <c r="E93" s="16"/>
      <c r="F93" s="14"/>
      <c r="G93" s="14"/>
      <c r="H93" s="17"/>
    </row>
    <row r="94" spans="1:8" s="18" customFormat="1" x14ac:dyDescent="0.25">
      <c r="A94" s="14" t="s">
        <v>87</v>
      </c>
      <c r="B94" s="14" t="s">
        <v>87</v>
      </c>
      <c r="C94" s="15" t="s">
        <v>141</v>
      </c>
      <c r="D94" s="42" t="s">
        <v>181</v>
      </c>
      <c r="E94" s="16"/>
      <c r="F94" s="14"/>
      <c r="G94" s="14"/>
      <c r="H94" s="17"/>
    </row>
    <row r="95" spans="1:8" s="18" customFormat="1" x14ac:dyDescent="0.25">
      <c r="A95" s="14" t="s">
        <v>88</v>
      </c>
      <c r="B95" s="14" t="s">
        <v>88</v>
      </c>
      <c r="C95" s="15" t="s">
        <v>141</v>
      </c>
      <c r="D95" s="42" t="s">
        <v>181</v>
      </c>
      <c r="E95" s="16"/>
      <c r="F95" s="14"/>
      <c r="G95" s="14"/>
      <c r="H95" s="17"/>
    </row>
    <row r="96" spans="1:8" s="18" customFormat="1" x14ac:dyDescent="0.25">
      <c r="A96" s="14" t="s">
        <v>89</v>
      </c>
      <c r="B96" s="14" t="s">
        <v>89</v>
      </c>
      <c r="C96" s="15" t="s">
        <v>141</v>
      </c>
      <c r="D96" s="42" t="s">
        <v>181</v>
      </c>
      <c r="E96" s="16"/>
      <c r="F96" s="14"/>
      <c r="G96" s="14"/>
      <c r="H96" s="17"/>
    </row>
    <row r="97" spans="1:8" s="18" customFormat="1" x14ac:dyDescent="0.25">
      <c r="A97" s="14" t="s">
        <v>97</v>
      </c>
      <c r="B97" s="14" t="s">
        <v>97</v>
      </c>
      <c r="C97" s="15" t="s">
        <v>141</v>
      </c>
      <c r="D97" s="42" t="s">
        <v>182</v>
      </c>
      <c r="E97" s="16"/>
      <c r="F97" s="14"/>
      <c r="G97" s="14"/>
      <c r="H97" s="17"/>
    </row>
    <row r="98" spans="1:8" s="18" customFormat="1" x14ac:dyDescent="0.25">
      <c r="A98" s="14" t="s">
        <v>99</v>
      </c>
      <c r="B98" s="14" t="s">
        <v>183</v>
      </c>
      <c r="C98" s="15" t="s">
        <v>141</v>
      </c>
      <c r="D98" s="42" t="s">
        <v>184</v>
      </c>
      <c r="E98" s="16"/>
      <c r="F98" s="14"/>
      <c r="G98" s="14"/>
      <c r="H98" s="17"/>
    </row>
    <row r="99" spans="1:8" s="18" customFormat="1" x14ac:dyDescent="0.25">
      <c r="A99" s="14" t="s">
        <v>100</v>
      </c>
      <c r="B99" s="14" t="s">
        <v>185</v>
      </c>
      <c r="C99" s="15" t="s">
        <v>141</v>
      </c>
      <c r="D99" s="42" t="s">
        <v>184</v>
      </c>
      <c r="E99" s="16"/>
      <c r="F99" s="14"/>
      <c r="G99" s="14"/>
      <c r="H99" s="17"/>
    </row>
    <row r="100" spans="1:8" s="18" customFormat="1" x14ac:dyDescent="0.25">
      <c r="A100" s="14" t="s">
        <v>186</v>
      </c>
      <c r="B100" s="14" t="s">
        <v>186</v>
      </c>
      <c r="C100" s="15" t="s">
        <v>141</v>
      </c>
      <c r="D100" s="42" t="s">
        <v>184</v>
      </c>
      <c r="E100" s="16"/>
      <c r="F100" s="14"/>
      <c r="G100" s="14"/>
      <c r="H100" s="17"/>
    </row>
    <row r="101" spans="1:8" s="18" customFormat="1" x14ac:dyDescent="0.25">
      <c r="A101" s="14" t="s">
        <v>101</v>
      </c>
      <c r="B101" s="14" t="s">
        <v>187</v>
      </c>
      <c r="C101" s="15" t="s">
        <v>141</v>
      </c>
      <c r="D101" s="42" t="s">
        <v>188</v>
      </c>
      <c r="E101" s="16"/>
      <c r="F101" s="14"/>
      <c r="G101" s="14"/>
      <c r="H101" s="17"/>
    </row>
    <row r="102" spans="1:8" s="18" customFormat="1" x14ac:dyDescent="0.25">
      <c r="A102" s="14" t="s">
        <v>102</v>
      </c>
      <c r="B102" s="14" t="s">
        <v>189</v>
      </c>
      <c r="C102" s="15" t="s">
        <v>141</v>
      </c>
      <c r="D102" s="42" t="s">
        <v>190</v>
      </c>
      <c r="E102" s="16"/>
      <c r="F102" s="14"/>
      <c r="G102" s="14"/>
      <c r="H102" s="17"/>
    </row>
    <row r="103" spans="1:8" s="18" customFormat="1" x14ac:dyDescent="0.25">
      <c r="A103" s="14" t="s">
        <v>103</v>
      </c>
      <c r="B103" s="14" t="s">
        <v>191</v>
      </c>
      <c r="C103" s="15" t="s">
        <v>141</v>
      </c>
      <c r="D103" s="42" t="s">
        <v>192</v>
      </c>
      <c r="E103" s="16"/>
      <c r="F103" s="14"/>
      <c r="G103" s="14"/>
      <c r="H103" s="17"/>
    </row>
    <row r="104" spans="1:8" s="18" customFormat="1" x14ac:dyDescent="0.25">
      <c r="A104" s="14" t="s">
        <v>104</v>
      </c>
      <c r="B104" s="14" t="s">
        <v>193</v>
      </c>
      <c r="C104" s="15" t="s">
        <v>141</v>
      </c>
      <c r="D104" s="42" t="s">
        <v>184</v>
      </c>
      <c r="E104" s="16"/>
      <c r="F104" s="14"/>
      <c r="G104" s="14"/>
      <c r="H104" s="17"/>
    </row>
    <row r="105" spans="1:8" s="18" customFormat="1" x14ac:dyDescent="0.25">
      <c r="A105" s="14" t="s">
        <v>106</v>
      </c>
      <c r="B105" s="14" t="s">
        <v>147</v>
      </c>
      <c r="C105" s="15" t="s">
        <v>148</v>
      </c>
      <c r="D105" s="42"/>
      <c r="E105" s="16"/>
      <c r="F105" s="14"/>
      <c r="G105" s="14"/>
      <c r="H105" s="17"/>
    </row>
    <row r="106" spans="1:8" s="18" customFormat="1" x14ac:dyDescent="0.25">
      <c r="A106" s="14" t="s">
        <v>108</v>
      </c>
      <c r="B106" s="14" t="s">
        <v>149</v>
      </c>
      <c r="C106" s="15" t="s">
        <v>148</v>
      </c>
      <c r="D106" s="42"/>
      <c r="E106" s="16"/>
      <c r="F106" s="14"/>
      <c r="G106" s="14"/>
      <c r="H106" s="17"/>
    </row>
    <row r="107" spans="1:8" s="18" customFormat="1" x14ac:dyDescent="0.25">
      <c r="A107" s="14" t="s">
        <v>110</v>
      </c>
      <c r="B107" s="14" t="s">
        <v>194</v>
      </c>
      <c r="C107" s="15" t="s">
        <v>141</v>
      </c>
      <c r="D107" s="42" t="s">
        <v>195</v>
      </c>
      <c r="E107" s="16"/>
      <c r="F107" s="14"/>
      <c r="G107" s="14"/>
      <c r="H107" s="17"/>
    </row>
    <row r="108" spans="1:8" s="18" customFormat="1" x14ac:dyDescent="0.25">
      <c r="A108" s="14" t="s">
        <v>111</v>
      </c>
      <c r="B108" s="14" t="s">
        <v>112</v>
      </c>
      <c r="C108" s="15" t="s">
        <v>154</v>
      </c>
      <c r="D108" s="42" t="s">
        <v>157</v>
      </c>
      <c r="E108" s="16"/>
      <c r="F108" s="14"/>
      <c r="G108" s="14"/>
      <c r="H108" s="17"/>
    </row>
    <row r="109" spans="1:8" s="18" customFormat="1" x14ac:dyDescent="0.25">
      <c r="A109" s="14" t="s">
        <v>114</v>
      </c>
      <c r="B109" s="14" t="s">
        <v>114</v>
      </c>
      <c r="C109" s="15" t="s">
        <v>141</v>
      </c>
      <c r="D109" s="42" t="s">
        <v>196</v>
      </c>
      <c r="E109" s="16"/>
      <c r="F109" s="14"/>
      <c r="G109" s="14"/>
      <c r="H109" s="17"/>
    </row>
    <row r="110" spans="1:8" s="18" customFormat="1" x14ac:dyDescent="0.25">
      <c r="A110" s="14" t="s">
        <v>115</v>
      </c>
      <c r="B110" s="14" t="s">
        <v>115</v>
      </c>
      <c r="C110" s="15" t="s">
        <v>141</v>
      </c>
      <c r="D110" s="42" t="s">
        <v>196</v>
      </c>
      <c r="E110" s="16"/>
      <c r="F110" s="14"/>
      <c r="G110" s="14"/>
      <c r="H110" s="17"/>
    </row>
    <row r="111" spans="1:8" s="18" customFormat="1" x14ac:dyDescent="0.25">
      <c r="A111" s="14" t="s">
        <v>116</v>
      </c>
      <c r="B111" s="14" t="s">
        <v>116</v>
      </c>
      <c r="C111" s="15" t="s">
        <v>141</v>
      </c>
      <c r="D111" s="42" t="s">
        <v>196</v>
      </c>
      <c r="E111" s="16"/>
      <c r="F111" s="14"/>
      <c r="G111" s="14"/>
      <c r="H111" s="17"/>
    </row>
    <row r="112" spans="1:8" s="18" customFormat="1" x14ac:dyDescent="0.25">
      <c r="A112" s="14" t="s">
        <v>117</v>
      </c>
      <c r="B112" s="14" t="s">
        <v>117</v>
      </c>
      <c r="C112" s="15" t="s">
        <v>141</v>
      </c>
      <c r="D112" s="42" t="s">
        <v>196</v>
      </c>
      <c r="E112" s="16"/>
      <c r="F112" s="14"/>
      <c r="G112" s="14"/>
      <c r="H112" s="17"/>
    </row>
    <row r="113" spans="1:8" s="18" customFormat="1" x14ac:dyDescent="0.25">
      <c r="A113" s="14" t="s">
        <v>118</v>
      </c>
      <c r="B113" s="14" t="s">
        <v>120</v>
      </c>
      <c r="C113" s="15" t="s">
        <v>154</v>
      </c>
      <c r="D113" s="42" t="s">
        <v>157</v>
      </c>
      <c r="E113" s="16"/>
      <c r="F113" s="14"/>
      <c r="G113" s="14"/>
      <c r="H113" s="17"/>
    </row>
    <row r="114" spans="1:8" s="18" customFormat="1" x14ac:dyDescent="0.25">
      <c r="A114" s="14" t="s">
        <v>119</v>
      </c>
      <c r="B114" s="14" t="s">
        <v>119</v>
      </c>
      <c r="C114" s="15" t="s">
        <v>141</v>
      </c>
      <c r="D114" s="42" t="s">
        <v>142</v>
      </c>
      <c r="E114" s="16"/>
      <c r="F114" s="14"/>
      <c r="G114" s="14"/>
      <c r="H114" s="17"/>
    </row>
    <row r="115" spans="1:8" s="18" customFormat="1" x14ac:dyDescent="0.25">
      <c r="A115" s="14" t="s">
        <v>209</v>
      </c>
      <c r="B115" s="14" t="s">
        <v>221</v>
      </c>
      <c r="C115" s="15" t="s">
        <v>141</v>
      </c>
      <c r="D115" s="42" t="s">
        <v>222</v>
      </c>
      <c r="E115" s="16"/>
      <c r="F115" s="14"/>
      <c r="G115" s="14"/>
      <c r="H115" s="17"/>
    </row>
    <row r="116" spans="1:8" s="18" customFormat="1" x14ac:dyDescent="0.25">
      <c r="A116" s="14" t="s">
        <v>204</v>
      </c>
      <c r="B116" s="14" t="s">
        <v>57</v>
      </c>
      <c r="C116" s="15" t="s">
        <v>141</v>
      </c>
      <c r="D116" s="42" t="s">
        <v>12</v>
      </c>
      <c r="E116" s="16"/>
      <c r="F116" s="14"/>
      <c r="G116" s="14"/>
      <c r="H116" s="17"/>
    </row>
    <row r="117" spans="1:8" s="18" customFormat="1" x14ac:dyDescent="0.25">
      <c r="A117" s="14" t="s">
        <v>203</v>
      </c>
      <c r="B117" s="14" t="s">
        <v>91</v>
      </c>
      <c r="C117" s="15" t="s">
        <v>154</v>
      </c>
      <c r="D117" s="42" t="s">
        <v>157</v>
      </c>
      <c r="E117" s="16"/>
      <c r="F117" s="14"/>
      <c r="G117" s="14"/>
      <c r="H117" s="17"/>
    </row>
    <row r="118" spans="1:8" s="18" customFormat="1" x14ac:dyDescent="0.25">
      <c r="A118" s="14" t="s">
        <v>202</v>
      </c>
      <c r="B118" s="14" t="s">
        <v>215</v>
      </c>
      <c r="C118" s="15" t="s">
        <v>154</v>
      </c>
      <c r="D118" s="42" t="s">
        <v>216</v>
      </c>
      <c r="E118" s="16"/>
      <c r="F118" s="14"/>
      <c r="G118" s="14"/>
      <c r="H118" s="17"/>
    </row>
    <row r="119" spans="1:8" s="18" customFormat="1" x14ac:dyDescent="0.25">
      <c r="A119" s="14" t="s">
        <v>213</v>
      </c>
      <c r="B119" s="14" t="s">
        <v>217</v>
      </c>
      <c r="C119" s="15" t="s">
        <v>154</v>
      </c>
      <c r="D119" s="42" t="s">
        <v>162</v>
      </c>
      <c r="E119" s="16"/>
      <c r="F119" s="14"/>
      <c r="G119" s="14"/>
      <c r="H119" s="17"/>
    </row>
    <row r="120" spans="1:8" s="18" customFormat="1" x14ac:dyDescent="0.25">
      <c r="A120" s="14" t="s">
        <v>93</v>
      </c>
      <c r="B120" s="14" t="s">
        <v>92</v>
      </c>
      <c r="C120" s="15" t="s">
        <v>154</v>
      </c>
      <c r="D120" s="42" t="s">
        <v>216</v>
      </c>
      <c r="E120" s="16"/>
      <c r="F120" s="14"/>
      <c r="G120" s="14"/>
      <c r="H120" s="17"/>
    </row>
    <row r="121" spans="1:8" s="18" customFormat="1" x14ac:dyDescent="0.25">
      <c r="A121" s="14" t="s">
        <v>198</v>
      </c>
      <c r="B121" s="14" t="s">
        <v>200</v>
      </c>
      <c r="C121" s="15" t="s">
        <v>154</v>
      </c>
      <c r="D121" s="42" t="s">
        <v>216</v>
      </c>
      <c r="E121" s="16"/>
      <c r="F121" s="14"/>
      <c r="G121" s="14"/>
      <c r="H121" s="17"/>
    </row>
    <row r="122" spans="1:8" s="18" customFormat="1" x14ac:dyDescent="0.25">
      <c r="A122" s="14" t="s">
        <v>197</v>
      </c>
      <c r="B122" s="14" t="s">
        <v>199</v>
      </c>
      <c r="C122" s="15" t="s">
        <v>154</v>
      </c>
      <c r="D122" s="42" t="s">
        <v>216</v>
      </c>
      <c r="E122" s="16"/>
      <c r="F122" s="14"/>
      <c r="G122" s="14"/>
      <c r="H122" s="17"/>
    </row>
    <row r="123" spans="1:8" s="18" customFormat="1" x14ac:dyDescent="0.25">
      <c r="A123" s="14" t="s">
        <v>95</v>
      </c>
      <c r="B123" s="14" t="s">
        <v>94</v>
      </c>
      <c r="C123" s="15" t="s">
        <v>154</v>
      </c>
      <c r="D123" s="42" t="s">
        <v>216</v>
      </c>
      <c r="E123" s="16"/>
      <c r="F123" s="14"/>
      <c r="G123" s="14"/>
      <c r="H123" s="17"/>
    </row>
    <row r="124" spans="1:8" s="18" customFormat="1" x14ac:dyDescent="0.25">
      <c r="A124" s="14" t="s">
        <v>208</v>
      </c>
      <c r="B124" s="14" t="s">
        <v>223</v>
      </c>
      <c r="C124" s="15" t="s">
        <v>141</v>
      </c>
      <c r="D124" s="42" t="s">
        <v>234</v>
      </c>
      <c r="E124" s="16"/>
      <c r="F124" s="14"/>
      <c r="G124" s="14"/>
      <c r="H124" s="17"/>
    </row>
    <row r="125" spans="1:8" s="18" customFormat="1" x14ac:dyDescent="0.25">
      <c r="A125" s="14" t="s">
        <v>237</v>
      </c>
      <c r="B125" s="14" t="s">
        <v>236</v>
      </c>
      <c r="C125" s="15" t="s">
        <v>141</v>
      </c>
      <c r="D125" s="42" t="s">
        <v>234</v>
      </c>
      <c r="E125" s="16"/>
      <c r="F125" s="14"/>
      <c r="G125" s="14"/>
      <c r="H125" s="17"/>
    </row>
    <row r="126" spans="1:8" s="18" customFormat="1" x14ac:dyDescent="0.25">
      <c r="A126" s="14" t="s">
        <v>210</v>
      </c>
      <c r="B126" s="14" t="s">
        <v>219</v>
      </c>
      <c r="C126" s="15" t="s">
        <v>154</v>
      </c>
      <c r="D126" s="42" t="s">
        <v>162</v>
      </c>
      <c r="E126" s="16"/>
      <c r="F126" s="14"/>
      <c r="G126" s="14"/>
      <c r="H126" s="17"/>
    </row>
    <row r="127" spans="1:8" s="18" customFormat="1" x14ac:dyDescent="0.25">
      <c r="A127" s="14" t="s">
        <v>214</v>
      </c>
      <c r="B127" s="14" t="s">
        <v>220</v>
      </c>
      <c r="C127" s="15" t="s">
        <v>154</v>
      </c>
      <c r="D127" s="42" t="s">
        <v>162</v>
      </c>
      <c r="E127" s="16"/>
      <c r="F127" s="14"/>
      <c r="G127" s="14"/>
      <c r="H127" s="17"/>
    </row>
    <row r="128" spans="1:8" s="18" customFormat="1" x14ac:dyDescent="0.25">
      <c r="A128" s="14" t="s">
        <v>254</v>
      </c>
      <c r="B128" s="14" t="s">
        <v>211</v>
      </c>
      <c r="C128" s="15" t="s">
        <v>141</v>
      </c>
      <c r="D128" s="42" t="s">
        <v>227</v>
      </c>
      <c r="E128" s="16"/>
      <c r="F128" s="14"/>
      <c r="G128" s="14"/>
      <c r="H128" s="17"/>
    </row>
    <row r="129" spans="1:8" s="18" customFormat="1" x14ac:dyDescent="0.25">
      <c r="A129" s="14" t="s">
        <v>252</v>
      </c>
      <c r="B129" s="14" t="s">
        <v>212</v>
      </c>
      <c r="C129" s="15" t="s">
        <v>141</v>
      </c>
      <c r="D129" s="42" t="s">
        <v>227</v>
      </c>
      <c r="E129" s="16"/>
      <c r="F129" s="14"/>
      <c r="G129" s="14"/>
      <c r="H129" s="17"/>
    </row>
    <row r="130" spans="1:8" s="18" customFormat="1" x14ac:dyDescent="0.25">
      <c r="A130" s="14" t="s">
        <v>253</v>
      </c>
      <c r="B130" s="14" t="s">
        <v>238</v>
      </c>
      <c r="C130" s="15" t="s">
        <v>141</v>
      </c>
      <c r="D130" s="42" t="s">
        <v>227</v>
      </c>
      <c r="E130" s="16"/>
      <c r="F130" s="14"/>
      <c r="G130" s="14"/>
      <c r="H130" s="17"/>
    </row>
    <row r="131" spans="1:8" s="18" customFormat="1" x14ac:dyDescent="0.25">
      <c r="A131" s="14" t="s">
        <v>228</v>
      </c>
      <c r="B131" s="14" t="s">
        <v>29</v>
      </c>
      <c r="C131" s="15" t="s">
        <v>130</v>
      </c>
      <c r="D131" s="42" t="s">
        <v>226</v>
      </c>
      <c r="E131" s="16"/>
      <c r="F131" s="14"/>
      <c r="G131" s="14"/>
      <c r="H131" s="17"/>
    </row>
    <row r="132" spans="1:8" s="18" customFormat="1" x14ac:dyDescent="0.25">
      <c r="A132" s="14" t="s">
        <v>229</v>
      </c>
      <c r="B132" s="14" t="s">
        <v>230</v>
      </c>
      <c r="C132" s="15" t="s">
        <v>130</v>
      </c>
      <c r="D132" s="42" t="s">
        <v>235</v>
      </c>
      <c r="E132" s="16"/>
      <c r="F132" s="14"/>
      <c r="G132" s="14"/>
      <c r="H132" s="17"/>
    </row>
    <row r="133" spans="1:8" s="18" customFormat="1" x14ac:dyDescent="0.25">
      <c r="A133" s="14" t="s">
        <v>231</v>
      </c>
      <c r="B133" s="14" t="s">
        <v>232</v>
      </c>
      <c r="C133" s="15" t="s">
        <v>130</v>
      </c>
      <c r="D133" s="42" t="s">
        <v>233</v>
      </c>
      <c r="E133" s="16"/>
      <c r="F133" s="14"/>
      <c r="G133" s="14"/>
      <c r="H133" s="17"/>
    </row>
    <row r="134" spans="1:8" s="18" customFormat="1" x14ac:dyDescent="0.25">
      <c r="A134" s="14" t="s">
        <v>248</v>
      </c>
      <c r="B134" s="14" t="s">
        <v>239</v>
      </c>
      <c r="C134" s="15" t="s">
        <v>141</v>
      </c>
      <c r="D134" s="42" t="s">
        <v>234</v>
      </c>
      <c r="E134" s="16"/>
      <c r="F134" s="14"/>
      <c r="G134" s="14"/>
      <c r="H134" s="17"/>
    </row>
    <row r="135" spans="1:8" s="18" customFormat="1" x14ac:dyDescent="0.25">
      <c r="A135" s="14" t="s">
        <v>249</v>
      </c>
      <c r="B135" s="14" t="s">
        <v>240</v>
      </c>
      <c r="C135" s="15" t="s">
        <v>141</v>
      </c>
      <c r="D135" s="42" t="s">
        <v>234</v>
      </c>
      <c r="E135" s="16"/>
      <c r="F135" s="14"/>
      <c r="G135" s="14"/>
      <c r="H135" s="17"/>
    </row>
    <row r="136" spans="1:8" s="18" customFormat="1" x14ac:dyDescent="0.25">
      <c r="A136" s="14" t="s">
        <v>250</v>
      </c>
      <c r="B136" s="14" t="s">
        <v>241</v>
      </c>
      <c r="C136" s="15" t="s">
        <v>141</v>
      </c>
      <c r="D136" s="42" t="s">
        <v>243</v>
      </c>
      <c r="E136" s="16"/>
      <c r="F136" s="14"/>
      <c r="G136" s="14"/>
      <c r="H136" s="17"/>
    </row>
    <row r="137" spans="1:8" s="18" customFormat="1" x14ac:dyDescent="0.25">
      <c r="A137" s="14" t="s">
        <v>251</v>
      </c>
      <c r="B137" s="14" t="s">
        <v>242</v>
      </c>
      <c r="C137" s="15" t="s">
        <v>141</v>
      </c>
      <c r="D137" s="42" t="s">
        <v>243</v>
      </c>
      <c r="E137" s="16"/>
      <c r="F137" s="14"/>
      <c r="G137" s="14"/>
      <c r="H137" s="17"/>
    </row>
    <row r="138" spans="1:8" s="18" customFormat="1" x14ac:dyDescent="0.25">
      <c r="A138" s="14" t="s">
        <v>245</v>
      </c>
      <c r="B138" s="14" t="s">
        <v>244</v>
      </c>
      <c r="C138" s="15" t="s">
        <v>154</v>
      </c>
      <c r="D138" s="42" t="s">
        <v>216</v>
      </c>
      <c r="E138" s="16"/>
      <c r="F138" s="14"/>
      <c r="G138" s="14"/>
      <c r="H138" s="17"/>
    </row>
    <row r="139" spans="1:8" s="18" customFormat="1" x14ac:dyDescent="0.25">
      <c r="A139" s="14" t="s">
        <v>247</v>
      </c>
      <c r="B139" s="14" t="s">
        <v>246</v>
      </c>
      <c r="C139" s="15" t="s">
        <v>154</v>
      </c>
      <c r="D139" s="42" t="s">
        <v>216</v>
      </c>
      <c r="E139" s="16"/>
      <c r="F139" s="14"/>
      <c r="G139" s="14"/>
      <c r="H139" s="17"/>
    </row>
    <row r="140" spans="1:8" s="18" customFormat="1" x14ac:dyDescent="0.25">
      <c r="A140" s="14" t="s">
        <v>255</v>
      </c>
      <c r="B140" s="14" t="s">
        <v>264</v>
      </c>
      <c r="C140" s="15" t="s">
        <v>130</v>
      </c>
      <c r="D140" s="42" t="s">
        <v>263</v>
      </c>
      <c r="E140" s="16"/>
      <c r="F140" s="14"/>
      <c r="G140" s="14"/>
      <c r="H140" s="17"/>
    </row>
    <row r="141" spans="1:8" s="18" customFormat="1" x14ac:dyDescent="0.25">
      <c r="A141" s="14" t="s">
        <v>260</v>
      </c>
      <c r="B141" s="14" t="s">
        <v>265</v>
      </c>
      <c r="C141" s="15" t="s">
        <v>141</v>
      </c>
      <c r="D141" s="42" t="s">
        <v>269</v>
      </c>
      <c r="E141" s="16"/>
      <c r="F141" s="14"/>
      <c r="G141" s="14"/>
      <c r="H141" s="17"/>
    </row>
    <row r="142" spans="1:8" s="18" customFormat="1" x14ac:dyDescent="0.25">
      <c r="A142" s="14" t="s">
        <v>259</v>
      </c>
      <c r="B142" s="14" t="s">
        <v>266</v>
      </c>
      <c r="C142" s="15" t="s">
        <v>141</v>
      </c>
      <c r="D142" s="42" t="s">
        <v>269</v>
      </c>
      <c r="E142" s="16"/>
      <c r="F142" s="14"/>
      <c r="G142" s="14"/>
      <c r="H142" s="17"/>
    </row>
    <row r="143" spans="1:8" s="18" customFormat="1" x14ac:dyDescent="0.25">
      <c r="A143" s="14" t="s">
        <v>257</v>
      </c>
      <c r="B143" s="14" t="s">
        <v>267</v>
      </c>
      <c r="C143" s="15" t="s">
        <v>141</v>
      </c>
      <c r="D143" s="42" t="s">
        <v>270</v>
      </c>
      <c r="E143" s="16"/>
      <c r="F143" s="14"/>
      <c r="G143" s="14"/>
      <c r="H143" s="17"/>
    </row>
    <row r="144" spans="1:8" s="18" customFormat="1" x14ac:dyDescent="0.25">
      <c r="A144" s="14" t="s">
        <v>258</v>
      </c>
      <c r="B144" s="14" t="s">
        <v>268</v>
      </c>
      <c r="C144" s="15" t="s">
        <v>141</v>
      </c>
      <c r="D144" s="42" t="s">
        <v>270</v>
      </c>
      <c r="E144" s="16"/>
      <c r="F144" s="14"/>
      <c r="G144" s="14"/>
      <c r="H144" s="17"/>
    </row>
    <row r="145" spans="1:8" s="18" customFormat="1" x14ac:dyDescent="0.25">
      <c r="A145" s="14" t="s">
        <v>256</v>
      </c>
      <c r="B145" s="14" t="s">
        <v>271</v>
      </c>
      <c r="C145" s="15" t="s">
        <v>154</v>
      </c>
      <c r="D145" s="42" t="s">
        <v>162</v>
      </c>
      <c r="E145" s="16"/>
      <c r="F145" s="14"/>
      <c r="G145" s="14"/>
      <c r="H145" s="17"/>
    </row>
    <row r="146" spans="1:8" s="18" customFormat="1" x14ac:dyDescent="0.25">
      <c r="A146" s="14" t="s">
        <v>272</v>
      </c>
      <c r="B146" s="14" t="s">
        <v>220</v>
      </c>
      <c r="C146" s="15" t="s">
        <v>154</v>
      </c>
      <c r="D146" s="42" t="s">
        <v>162</v>
      </c>
      <c r="E146" s="16"/>
      <c r="F146" s="14"/>
      <c r="G146" s="14"/>
      <c r="H146" s="17"/>
    </row>
    <row r="147" spans="1:8" s="18" customFormat="1" x14ac:dyDescent="0.25">
      <c r="A147" s="14" t="s">
        <v>283</v>
      </c>
      <c r="B147" s="14" t="s">
        <v>281</v>
      </c>
      <c r="C147" s="15" t="s">
        <v>141</v>
      </c>
      <c r="D147" s="42" t="s">
        <v>282</v>
      </c>
      <c r="E147" s="16"/>
      <c r="F147" s="14"/>
      <c r="G147" s="14"/>
      <c r="H147" s="17"/>
    </row>
    <row r="148" spans="1:8" s="18" customFormat="1" x14ac:dyDescent="0.25">
      <c r="A148" s="14" t="s">
        <v>284</v>
      </c>
      <c r="B148" s="14" t="s">
        <v>386</v>
      </c>
      <c r="C148" s="15" t="s">
        <v>141</v>
      </c>
      <c r="D148" s="42" t="s">
        <v>387</v>
      </c>
      <c r="E148" s="16"/>
      <c r="F148" s="14"/>
      <c r="G148" s="14"/>
      <c r="H148" s="17"/>
    </row>
    <row r="149" spans="1:8" s="18" customFormat="1" x14ac:dyDescent="0.25">
      <c r="A149" s="14" t="s">
        <v>261</v>
      </c>
      <c r="B149" s="14" t="s">
        <v>273</v>
      </c>
      <c r="C149" s="15" t="s">
        <v>130</v>
      </c>
      <c r="D149" s="42" t="s">
        <v>274</v>
      </c>
      <c r="E149" s="16"/>
      <c r="F149" s="14"/>
      <c r="G149" s="14"/>
      <c r="H149" s="17"/>
    </row>
    <row r="150" spans="1:8" s="18" customFormat="1" x14ac:dyDescent="0.25">
      <c r="A150" s="14" t="s">
        <v>280</v>
      </c>
      <c r="B150" s="14" t="s">
        <v>275</v>
      </c>
      <c r="C150" s="15" t="s">
        <v>141</v>
      </c>
      <c r="D150" s="42" t="s">
        <v>276</v>
      </c>
      <c r="E150" s="16"/>
      <c r="F150" s="14"/>
      <c r="G150" s="14"/>
      <c r="H150" s="17"/>
    </row>
    <row r="151" spans="1:8" s="18" customFormat="1" x14ac:dyDescent="0.25">
      <c r="A151" s="14" t="s">
        <v>285</v>
      </c>
      <c r="B151" s="14" t="s">
        <v>273</v>
      </c>
      <c r="C151" s="15" t="s">
        <v>286</v>
      </c>
      <c r="D151" s="42" t="s">
        <v>274</v>
      </c>
      <c r="E151" s="16"/>
      <c r="F151" s="14" t="s">
        <v>290</v>
      </c>
      <c r="G151" s="14"/>
      <c r="H151" s="17"/>
    </row>
    <row r="152" spans="1:8" s="18" customFormat="1" x14ac:dyDescent="0.25">
      <c r="A152" s="14" t="s">
        <v>262</v>
      </c>
      <c r="B152" s="14" t="s">
        <v>277</v>
      </c>
      <c r="C152" s="15" t="s">
        <v>289</v>
      </c>
      <c r="D152" s="42" t="s">
        <v>276</v>
      </c>
      <c r="E152" s="16"/>
      <c r="F152" s="14" t="s">
        <v>273</v>
      </c>
      <c r="G152" s="14"/>
      <c r="H152" s="17"/>
    </row>
    <row r="153" spans="1:8" s="18" customFormat="1" x14ac:dyDescent="0.25">
      <c r="A153" s="14" t="s">
        <v>278</v>
      </c>
      <c r="B153" s="14" t="s">
        <v>278</v>
      </c>
      <c r="C153" s="15" t="s">
        <v>289</v>
      </c>
      <c r="D153" s="42" t="s">
        <v>279</v>
      </c>
      <c r="E153" s="16"/>
      <c r="F153" s="14" t="s">
        <v>273</v>
      </c>
      <c r="G153" s="14"/>
      <c r="H153" s="17"/>
    </row>
    <row r="154" spans="1:8" s="18" customFormat="1" x14ac:dyDescent="0.25">
      <c r="A154" s="14" t="s">
        <v>287</v>
      </c>
      <c r="B154" s="14" t="s">
        <v>288</v>
      </c>
      <c r="C154" s="15" t="s">
        <v>133</v>
      </c>
      <c r="D154" s="42"/>
      <c r="E154" s="16"/>
      <c r="F154" s="14"/>
      <c r="G154" s="14"/>
      <c r="H154" s="17"/>
    </row>
    <row r="155" spans="1:8" s="18" customFormat="1" x14ac:dyDescent="0.25">
      <c r="A155" s="14" t="s">
        <v>306</v>
      </c>
      <c r="B155" s="14" t="s">
        <v>307</v>
      </c>
      <c r="C155" s="15" t="s">
        <v>154</v>
      </c>
      <c r="D155" s="42" t="s">
        <v>216</v>
      </c>
      <c r="E155" s="16"/>
      <c r="F155" s="14"/>
      <c r="G155" s="14"/>
      <c r="H155" s="17"/>
    </row>
    <row r="156" spans="1:8" s="18" customFormat="1" x14ac:dyDescent="0.25">
      <c r="A156" s="14" t="s">
        <v>304</v>
      </c>
      <c r="B156" s="14" t="s">
        <v>305</v>
      </c>
      <c r="C156" s="15" t="s">
        <v>141</v>
      </c>
      <c r="D156" s="42" t="s">
        <v>303</v>
      </c>
      <c r="E156" s="16"/>
      <c r="F156" s="14"/>
      <c r="G156" s="14"/>
      <c r="H156" s="17"/>
    </row>
    <row r="157" spans="1:8" s="18" customFormat="1" x14ac:dyDescent="0.25">
      <c r="A157" s="14" t="s">
        <v>430</v>
      </c>
      <c r="B157" s="14" t="s">
        <v>4</v>
      </c>
      <c r="C157" s="15" t="s">
        <v>141</v>
      </c>
      <c r="D157" s="42" t="s">
        <v>20</v>
      </c>
      <c r="E157" s="16"/>
      <c r="F157" s="14"/>
      <c r="G157" s="14"/>
      <c r="H157" s="17"/>
    </row>
    <row r="158" spans="1:8" s="18" customFormat="1" x14ac:dyDescent="0.25">
      <c r="A158" s="14" t="s">
        <v>201</v>
      </c>
      <c r="B158" s="14" t="s">
        <v>4</v>
      </c>
      <c r="C158" s="15" t="s">
        <v>141</v>
      </c>
      <c r="D158" s="42" t="s">
        <v>20</v>
      </c>
      <c r="E158" s="16"/>
      <c r="F158" s="14"/>
      <c r="G158" s="14"/>
      <c r="H158" s="17"/>
    </row>
    <row r="159" spans="1:8" s="18" customFormat="1" x14ac:dyDescent="0.25">
      <c r="A159" s="14" t="s">
        <v>431</v>
      </c>
      <c r="B159" s="14" t="s">
        <v>414</v>
      </c>
      <c r="C159" s="15" t="s">
        <v>141</v>
      </c>
      <c r="D159" s="42" t="s">
        <v>385</v>
      </c>
      <c r="E159" s="16"/>
      <c r="F159" s="14"/>
      <c r="G159" s="14"/>
      <c r="H159" s="17"/>
    </row>
    <row r="160" spans="1:8" s="18" customFormat="1" x14ac:dyDescent="0.25">
      <c r="A160" s="14" t="s">
        <v>445</v>
      </c>
      <c r="B160" s="14" t="s">
        <v>461</v>
      </c>
      <c r="C160" s="15" t="s">
        <v>154</v>
      </c>
      <c r="D160" s="42" t="s">
        <v>157</v>
      </c>
      <c r="E160" s="16"/>
      <c r="F160" s="14"/>
      <c r="G160" s="14"/>
      <c r="H160" s="17"/>
    </row>
    <row r="161" spans="1:8" s="18" customFormat="1" x14ac:dyDescent="0.25">
      <c r="A161" s="14" t="s">
        <v>354</v>
      </c>
      <c r="B161" s="14" t="s">
        <v>325</v>
      </c>
      <c r="C161" s="15" t="s">
        <v>154</v>
      </c>
      <c r="D161" s="42" t="s">
        <v>162</v>
      </c>
      <c r="E161" s="16"/>
      <c r="F161" s="14"/>
      <c r="G161" s="14"/>
      <c r="H161" s="17"/>
    </row>
    <row r="162" spans="1:8" s="18" customFormat="1" x14ac:dyDescent="0.25">
      <c r="A162" s="14" t="s">
        <v>355</v>
      </c>
      <c r="B162" s="14" t="s">
        <v>326</v>
      </c>
      <c r="C162" s="15" t="s">
        <v>154</v>
      </c>
      <c r="D162" s="42" t="s">
        <v>162</v>
      </c>
      <c r="E162" s="16"/>
      <c r="F162" s="14"/>
      <c r="G162" s="14"/>
      <c r="H162" s="17"/>
    </row>
    <row r="163" spans="1:8" s="18" customFormat="1" x14ac:dyDescent="0.25">
      <c r="A163" s="14" t="s">
        <v>308</v>
      </c>
      <c r="B163" s="14" t="s">
        <v>215</v>
      </c>
      <c r="C163" s="15" t="s">
        <v>154</v>
      </c>
      <c r="D163" s="42" t="s">
        <v>216</v>
      </c>
      <c r="E163" s="16"/>
      <c r="F163" s="14"/>
      <c r="G163" s="14"/>
      <c r="H163" s="17"/>
    </row>
    <row r="164" spans="1:8" s="18" customFormat="1" x14ac:dyDescent="0.25">
      <c r="A164" s="14" t="s">
        <v>353</v>
      </c>
      <c r="B164" s="14" t="s">
        <v>90</v>
      </c>
      <c r="C164" s="15" t="s">
        <v>154</v>
      </c>
      <c r="D164" s="42" t="s">
        <v>162</v>
      </c>
      <c r="E164" s="16"/>
      <c r="F164" s="14"/>
      <c r="G164" s="14"/>
      <c r="H164" s="17"/>
    </row>
    <row r="165" spans="1:8" s="18" customFormat="1" x14ac:dyDescent="0.25">
      <c r="A165" s="14" t="s">
        <v>317</v>
      </c>
      <c r="B165" s="14" t="s">
        <v>200</v>
      </c>
      <c r="C165" s="15" t="s">
        <v>154</v>
      </c>
      <c r="D165" s="42" t="s">
        <v>216</v>
      </c>
      <c r="E165" s="16"/>
      <c r="F165" s="14"/>
      <c r="G165" s="14"/>
      <c r="H165" s="17"/>
    </row>
    <row r="166" spans="1:8" s="18" customFormat="1" x14ac:dyDescent="0.25">
      <c r="A166" s="14" t="s">
        <v>372</v>
      </c>
      <c r="B166" s="14" t="s">
        <v>372</v>
      </c>
      <c r="C166" s="15" t="s">
        <v>154</v>
      </c>
      <c r="D166" s="42" t="s">
        <v>162</v>
      </c>
      <c r="E166" s="16"/>
      <c r="F166" s="14"/>
      <c r="G166" s="14"/>
      <c r="H166" s="17"/>
    </row>
    <row r="167" spans="1:8" s="18" customFormat="1" x14ac:dyDescent="0.25">
      <c r="A167" s="14" t="s">
        <v>382</v>
      </c>
      <c r="B167" s="14" t="s">
        <v>382</v>
      </c>
      <c r="C167" s="15" t="s">
        <v>154</v>
      </c>
      <c r="D167" s="42" t="s">
        <v>162</v>
      </c>
      <c r="E167" s="16"/>
      <c r="F167" s="14"/>
      <c r="G167" s="14"/>
      <c r="H167" s="17"/>
    </row>
    <row r="168" spans="1:8" s="18" customFormat="1" x14ac:dyDescent="0.25">
      <c r="A168" s="14" t="s">
        <v>0</v>
      </c>
      <c r="B168" s="14" t="s">
        <v>0</v>
      </c>
      <c r="C168" s="15" t="s">
        <v>141</v>
      </c>
      <c r="D168" s="42" t="s">
        <v>20</v>
      </c>
      <c r="E168" s="16"/>
      <c r="F168" s="14"/>
      <c r="G168" s="14"/>
      <c r="H168" s="17"/>
    </row>
    <row r="169" spans="1:8" s="18" customFormat="1" x14ac:dyDescent="0.25">
      <c r="A169" s="14" t="s">
        <v>311</v>
      </c>
      <c r="B169" s="14" t="s">
        <v>224</v>
      </c>
      <c r="C169" s="15" t="s">
        <v>141</v>
      </c>
      <c r="D169" s="42" t="s">
        <v>234</v>
      </c>
      <c r="E169" s="16"/>
      <c r="F169" s="14"/>
      <c r="G169" s="14"/>
      <c r="H169" s="17"/>
    </row>
    <row r="170" spans="1:8" s="18" customFormat="1" x14ac:dyDescent="0.25">
      <c r="A170" s="14" t="s">
        <v>312</v>
      </c>
      <c r="B170" s="14" t="s">
        <v>225</v>
      </c>
      <c r="C170" s="15" t="s">
        <v>141</v>
      </c>
      <c r="D170" s="42" t="s">
        <v>234</v>
      </c>
      <c r="E170" s="16"/>
      <c r="F170" s="14"/>
      <c r="G170" s="14"/>
      <c r="H170" s="17"/>
    </row>
    <row r="171" spans="1:8" s="18" customFormat="1" x14ac:dyDescent="0.25">
      <c r="A171" s="14" t="s">
        <v>309</v>
      </c>
      <c r="B171" s="14" t="s">
        <v>314</v>
      </c>
      <c r="C171" s="15" t="s">
        <v>154</v>
      </c>
      <c r="D171" s="42" t="s">
        <v>162</v>
      </c>
      <c r="E171" s="16"/>
      <c r="F171" s="14"/>
      <c r="G171" s="14"/>
      <c r="H171" s="17"/>
    </row>
    <row r="172" spans="1:8" s="18" customFormat="1" x14ac:dyDescent="0.25">
      <c r="A172" s="14" t="s">
        <v>310</v>
      </c>
      <c r="B172" s="14" t="s">
        <v>0</v>
      </c>
      <c r="C172" s="15" t="s">
        <v>141</v>
      </c>
      <c r="D172" s="42" t="s">
        <v>20</v>
      </c>
      <c r="E172" s="16"/>
      <c r="F172" s="14"/>
      <c r="G172" s="14"/>
      <c r="H172" s="17"/>
    </row>
    <row r="173" spans="1:8" s="18" customFormat="1" x14ac:dyDescent="0.25">
      <c r="A173" s="14" t="s">
        <v>313</v>
      </c>
      <c r="B173" s="14" t="s">
        <v>218</v>
      </c>
      <c r="C173" s="15" t="s">
        <v>154</v>
      </c>
      <c r="D173" s="42" t="s">
        <v>162</v>
      </c>
      <c r="E173" s="16"/>
      <c r="F173" s="14"/>
      <c r="G173" s="14"/>
      <c r="H173" s="17"/>
    </row>
    <row r="174" spans="1:8" s="18" customFormat="1" x14ac:dyDescent="0.25">
      <c r="A174" s="14" t="s">
        <v>324</v>
      </c>
      <c r="B174" s="14" t="s">
        <v>388</v>
      </c>
      <c r="C174" s="15" t="s">
        <v>141</v>
      </c>
      <c r="D174" s="42" t="s">
        <v>385</v>
      </c>
      <c r="E174" s="16"/>
      <c r="F174" s="14"/>
      <c r="G174" s="14"/>
      <c r="H174" s="17"/>
    </row>
    <row r="175" spans="1:8" s="18" customFormat="1" x14ac:dyDescent="0.25">
      <c r="A175" s="14" t="s">
        <v>331</v>
      </c>
      <c r="B175" s="14" t="s">
        <v>420</v>
      </c>
      <c r="C175" s="15" t="s">
        <v>154</v>
      </c>
      <c r="D175" s="42" t="s">
        <v>162</v>
      </c>
      <c r="E175" s="16"/>
      <c r="F175" s="14"/>
      <c r="G175" s="14"/>
      <c r="H175" s="17"/>
    </row>
    <row r="176" spans="1:8" s="18" customFormat="1" x14ac:dyDescent="0.25">
      <c r="A176" s="14" t="s">
        <v>330</v>
      </c>
      <c r="B176" s="14" t="s">
        <v>389</v>
      </c>
      <c r="C176" s="15" t="s">
        <v>141</v>
      </c>
      <c r="D176" s="42" t="s">
        <v>387</v>
      </c>
      <c r="E176" s="16"/>
      <c r="F176" s="14"/>
      <c r="G176" s="14"/>
      <c r="H176" s="17"/>
    </row>
    <row r="177" spans="1:8" s="18" customFormat="1" x14ac:dyDescent="0.25">
      <c r="A177" s="14" t="s">
        <v>316</v>
      </c>
      <c r="B177" s="14" t="s">
        <v>390</v>
      </c>
      <c r="C177" s="15" t="s">
        <v>141</v>
      </c>
      <c r="D177" s="42" t="s">
        <v>385</v>
      </c>
      <c r="E177" s="16"/>
      <c r="F177" s="14"/>
      <c r="G177" s="14"/>
      <c r="H177" s="17"/>
    </row>
    <row r="178" spans="1:8" s="18" customFormat="1" x14ac:dyDescent="0.25">
      <c r="A178" s="14" t="s">
        <v>319</v>
      </c>
      <c r="B178" s="14" t="s">
        <v>391</v>
      </c>
      <c r="C178" s="15" t="s">
        <v>141</v>
      </c>
      <c r="D178" s="42" t="s">
        <v>385</v>
      </c>
      <c r="E178" s="16"/>
      <c r="F178" s="14"/>
      <c r="G178" s="14"/>
      <c r="H178" s="17"/>
    </row>
    <row r="179" spans="1:8" s="18" customFormat="1" x14ac:dyDescent="0.25">
      <c r="A179" s="14" t="s">
        <v>320</v>
      </c>
      <c r="B179" s="14" t="s">
        <v>392</v>
      </c>
      <c r="C179" s="15" t="s">
        <v>141</v>
      </c>
      <c r="D179" s="42" t="s">
        <v>385</v>
      </c>
      <c r="E179" s="16"/>
      <c r="F179" s="14"/>
      <c r="G179" s="14"/>
      <c r="H179" s="17"/>
    </row>
    <row r="180" spans="1:8" s="18" customFormat="1" x14ac:dyDescent="0.25">
      <c r="A180" s="14" t="s">
        <v>327</v>
      </c>
      <c r="B180" s="14" t="s">
        <v>414</v>
      </c>
      <c r="C180" s="15" t="s">
        <v>141</v>
      </c>
      <c r="D180" s="42" t="s">
        <v>385</v>
      </c>
      <c r="E180" s="16"/>
      <c r="F180" s="14"/>
      <c r="G180" s="14"/>
      <c r="H180" s="17"/>
    </row>
    <row r="181" spans="1:8" s="18" customFormat="1" x14ac:dyDescent="0.25">
      <c r="A181" s="14" t="s">
        <v>329</v>
      </c>
      <c r="B181" s="14" t="s">
        <v>393</v>
      </c>
      <c r="C181" s="15" t="s">
        <v>141</v>
      </c>
      <c r="D181" s="42" t="s">
        <v>385</v>
      </c>
      <c r="E181" s="16"/>
      <c r="F181" s="14"/>
      <c r="G181" s="14"/>
      <c r="H181" s="17"/>
    </row>
    <row r="182" spans="1:8" s="18" customFormat="1" x14ac:dyDescent="0.25">
      <c r="A182" s="14" t="s">
        <v>328</v>
      </c>
      <c r="B182" s="14" t="s">
        <v>393</v>
      </c>
      <c r="C182" s="15" t="s">
        <v>141</v>
      </c>
      <c r="D182" s="42" t="s">
        <v>385</v>
      </c>
      <c r="E182" s="16"/>
      <c r="F182" s="14"/>
      <c r="G182" s="14"/>
      <c r="H182" s="17"/>
    </row>
    <row r="183" spans="1:8" s="18" customFormat="1" x14ac:dyDescent="0.25">
      <c r="A183" s="14" t="s">
        <v>394</v>
      </c>
      <c r="B183" s="14" t="s">
        <v>394</v>
      </c>
      <c r="C183" s="15" t="s">
        <v>141</v>
      </c>
      <c r="D183" s="42" t="s">
        <v>395</v>
      </c>
      <c r="E183" s="16"/>
      <c r="F183" s="14"/>
      <c r="G183" s="14"/>
      <c r="H183" s="17"/>
    </row>
    <row r="184" spans="1:8" s="18" customFormat="1" x14ac:dyDescent="0.25">
      <c r="A184" s="14" t="s">
        <v>396</v>
      </c>
      <c r="B184" s="14" t="s">
        <v>396</v>
      </c>
      <c r="C184" s="15" t="s">
        <v>141</v>
      </c>
      <c r="D184" s="42" t="s">
        <v>395</v>
      </c>
      <c r="E184" s="16"/>
      <c r="F184" s="14"/>
      <c r="G184" s="14"/>
      <c r="H184" s="17"/>
    </row>
    <row r="185" spans="1:8" s="18" customFormat="1" x14ac:dyDescent="0.25">
      <c r="A185" s="14" t="s">
        <v>397</v>
      </c>
      <c r="B185" s="14" t="s">
        <v>397</v>
      </c>
      <c r="C185" s="15" t="s">
        <v>141</v>
      </c>
      <c r="D185" s="42" t="s">
        <v>395</v>
      </c>
      <c r="E185" s="16"/>
      <c r="F185" s="14"/>
      <c r="G185" s="14"/>
      <c r="H185" s="17"/>
    </row>
    <row r="186" spans="1:8" s="18" customFormat="1" x14ac:dyDescent="0.25">
      <c r="A186" s="14" t="s">
        <v>398</v>
      </c>
      <c r="B186" s="14" t="s">
        <v>398</v>
      </c>
      <c r="C186" s="15" t="s">
        <v>141</v>
      </c>
      <c r="D186" s="42" t="s">
        <v>395</v>
      </c>
      <c r="E186" s="16"/>
      <c r="F186" s="14"/>
      <c r="G186" s="14"/>
      <c r="H186" s="17"/>
    </row>
    <row r="187" spans="1:8" s="18" customFormat="1" x14ac:dyDescent="0.25">
      <c r="A187" s="14" t="s">
        <v>418</v>
      </c>
      <c r="B187" s="14" t="s">
        <v>418</v>
      </c>
      <c r="C187" s="15" t="s">
        <v>141</v>
      </c>
      <c r="D187" s="42" t="s">
        <v>395</v>
      </c>
      <c r="E187" s="16"/>
      <c r="F187" s="14"/>
      <c r="G187" s="14"/>
      <c r="H187" s="17"/>
    </row>
    <row r="188" spans="1:8" s="18" customFormat="1" x14ac:dyDescent="0.25">
      <c r="A188" s="14" t="s">
        <v>399</v>
      </c>
      <c r="B188" s="14" t="s">
        <v>399</v>
      </c>
      <c r="C188" s="15" t="s">
        <v>141</v>
      </c>
      <c r="D188" s="42" t="s">
        <v>395</v>
      </c>
      <c r="E188" s="16"/>
      <c r="F188" s="14"/>
      <c r="G188" s="14"/>
      <c r="H188" s="17"/>
    </row>
    <row r="189" spans="1:8" s="18" customFormat="1" x14ac:dyDescent="0.25">
      <c r="A189" s="14" t="s">
        <v>400</v>
      </c>
      <c r="B189" s="14" t="s">
        <v>400</v>
      </c>
      <c r="C189" s="15" t="s">
        <v>141</v>
      </c>
      <c r="D189" s="42" t="s">
        <v>395</v>
      </c>
      <c r="E189" s="16"/>
      <c r="F189" s="14"/>
      <c r="G189" s="14"/>
      <c r="H189" s="17"/>
    </row>
    <row r="190" spans="1:8" s="18" customFormat="1" x14ac:dyDescent="0.25">
      <c r="A190" s="14" t="s">
        <v>401</v>
      </c>
      <c r="B190" s="14" t="s">
        <v>401</v>
      </c>
      <c r="C190" s="15" t="s">
        <v>141</v>
      </c>
      <c r="D190" s="42" t="s">
        <v>395</v>
      </c>
      <c r="E190" s="16"/>
      <c r="F190" s="14"/>
      <c r="G190" s="14"/>
      <c r="H190" s="17"/>
    </row>
    <row r="191" spans="1:8" s="18" customFormat="1" x14ac:dyDescent="0.25">
      <c r="A191" s="14" t="s">
        <v>402</v>
      </c>
      <c r="B191" s="14" t="s">
        <v>402</v>
      </c>
      <c r="C191" s="15" t="s">
        <v>141</v>
      </c>
      <c r="D191" s="42" t="s">
        <v>395</v>
      </c>
      <c r="E191" s="16"/>
      <c r="F191" s="14"/>
      <c r="G191" s="14"/>
      <c r="H191" s="17"/>
    </row>
    <row r="192" spans="1:8" s="18" customFormat="1" x14ac:dyDescent="0.25">
      <c r="A192" s="14" t="s">
        <v>403</v>
      </c>
      <c r="B192" s="14" t="s">
        <v>403</v>
      </c>
      <c r="C192" s="15" t="s">
        <v>141</v>
      </c>
      <c r="D192" s="42" t="s">
        <v>395</v>
      </c>
      <c r="E192" s="16"/>
      <c r="F192" s="14"/>
      <c r="G192" s="14"/>
      <c r="H192" s="17"/>
    </row>
    <row r="193" spans="1:8" s="18" customFormat="1" x14ac:dyDescent="0.25">
      <c r="A193" s="14" t="s">
        <v>404</v>
      </c>
      <c r="B193" s="14" t="s">
        <v>404</v>
      </c>
      <c r="C193" s="15" t="s">
        <v>141</v>
      </c>
      <c r="D193" s="42" t="s">
        <v>395</v>
      </c>
      <c r="E193" s="16"/>
      <c r="F193" s="14"/>
      <c r="G193" s="14"/>
      <c r="H193" s="17"/>
    </row>
    <row r="194" spans="1:8" s="18" customFormat="1" x14ac:dyDescent="0.25">
      <c r="A194" s="14" t="s">
        <v>405</v>
      </c>
      <c r="B194" s="14" t="s">
        <v>405</v>
      </c>
      <c r="C194" s="15" t="s">
        <v>141</v>
      </c>
      <c r="D194" s="42" t="s">
        <v>395</v>
      </c>
      <c r="E194" s="16"/>
      <c r="F194" s="14"/>
      <c r="G194" s="14"/>
      <c r="H194" s="17"/>
    </row>
    <row r="195" spans="1:8" s="18" customFormat="1" x14ac:dyDescent="0.25">
      <c r="A195" s="14" t="s">
        <v>406</v>
      </c>
      <c r="B195" s="14" t="s">
        <v>406</v>
      </c>
      <c r="C195" s="15" t="s">
        <v>141</v>
      </c>
      <c r="D195" s="42" t="s">
        <v>395</v>
      </c>
      <c r="E195" s="16"/>
      <c r="F195" s="14"/>
      <c r="G195" s="14"/>
      <c r="H195" s="17"/>
    </row>
    <row r="196" spans="1:8" s="18" customFormat="1" x14ac:dyDescent="0.25">
      <c r="A196" s="14" t="s">
        <v>407</v>
      </c>
      <c r="B196" s="14" t="s">
        <v>407</v>
      </c>
      <c r="C196" s="15" t="s">
        <v>141</v>
      </c>
      <c r="D196" s="42" t="s">
        <v>395</v>
      </c>
      <c r="E196" s="16"/>
      <c r="F196" s="14"/>
      <c r="G196" s="14"/>
      <c r="H196" s="17"/>
    </row>
    <row r="197" spans="1:8" s="18" customFormat="1" x14ac:dyDescent="0.25">
      <c r="A197" s="14" t="s">
        <v>321</v>
      </c>
      <c r="B197" s="14" t="s">
        <v>334</v>
      </c>
      <c r="C197" s="15" t="s">
        <v>130</v>
      </c>
      <c r="D197" s="42" t="s">
        <v>408</v>
      </c>
      <c r="E197" s="16"/>
      <c r="F197" s="14"/>
      <c r="G197" s="14"/>
      <c r="H197" s="17"/>
    </row>
    <row r="198" spans="1:8" s="18" customFormat="1" x14ac:dyDescent="0.25">
      <c r="A198" s="14" t="s">
        <v>322</v>
      </c>
      <c r="B198" s="14" t="s">
        <v>335</v>
      </c>
      <c r="C198" s="15" t="s">
        <v>130</v>
      </c>
      <c r="D198" s="42" t="s">
        <v>336</v>
      </c>
      <c r="E198" s="16"/>
      <c r="F198" s="14"/>
      <c r="G198" s="14"/>
      <c r="H198" s="17"/>
    </row>
    <row r="199" spans="1:8" s="18" customFormat="1" x14ac:dyDescent="0.25">
      <c r="A199" s="14" t="s">
        <v>337</v>
      </c>
      <c r="B199" s="14" t="s">
        <v>337</v>
      </c>
      <c r="C199" s="15" t="s">
        <v>141</v>
      </c>
      <c r="D199" s="42" t="s">
        <v>338</v>
      </c>
      <c r="E199" s="16"/>
      <c r="F199" s="14"/>
      <c r="G199" s="14"/>
      <c r="H199" s="17"/>
    </row>
    <row r="200" spans="1:8" s="18" customFormat="1" x14ac:dyDescent="0.25">
      <c r="A200" s="14" t="s">
        <v>339</v>
      </c>
      <c r="B200" s="14" t="s">
        <v>339</v>
      </c>
      <c r="C200" s="15" t="s">
        <v>141</v>
      </c>
      <c r="D200" s="42" t="s">
        <v>340</v>
      </c>
      <c r="E200" s="16"/>
      <c r="F200" s="14"/>
      <c r="G200" s="14"/>
      <c r="H200" s="17"/>
    </row>
    <row r="201" spans="1:8" s="18" customFormat="1" x14ac:dyDescent="0.25">
      <c r="A201" s="14" t="s">
        <v>323</v>
      </c>
      <c r="B201" s="14" t="s">
        <v>323</v>
      </c>
      <c r="C201" s="15" t="s">
        <v>141</v>
      </c>
      <c r="D201" s="42" t="s">
        <v>342</v>
      </c>
      <c r="E201" s="16"/>
      <c r="F201" s="14"/>
      <c r="G201" s="14"/>
      <c r="H201" s="17"/>
    </row>
    <row r="202" spans="1:8" s="18" customFormat="1" x14ac:dyDescent="0.25">
      <c r="A202" s="14" t="s">
        <v>341</v>
      </c>
      <c r="B202" s="14" t="s">
        <v>341</v>
      </c>
      <c r="C202" s="15" t="s">
        <v>133</v>
      </c>
      <c r="D202" s="42"/>
      <c r="E202" s="16"/>
      <c r="F202" s="14"/>
      <c r="G202" s="14"/>
      <c r="H202" s="17"/>
    </row>
    <row r="203" spans="1:8" s="18" customFormat="1" x14ac:dyDescent="0.25">
      <c r="A203" s="14" t="s">
        <v>343</v>
      </c>
      <c r="B203" s="14" t="s">
        <v>343</v>
      </c>
      <c r="C203" s="15" t="s">
        <v>133</v>
      </c>
      <c r="D203" s="42"/>
      <c r="E203" s="16"/>
      <c r="F203" s="14"/>
      <c r="G203" s="14"/>
      <c r="H203" s="17"/>
    </row>
    <row r="204" spans="1:8" s="18" customFormat="1" x14ac:dyDescent="0.25">
      <c r="A204" s="14" t="s">
        <v>349</v>
      </c>
      <c r="B204" s="14" t="s">
        <v>349</v>
      </c>
      <c r="C204" s="15" t="s">
        <v>154</v>
      </c>
      <c r="D204" s="42" t="s">
        <v>162</v>
      </c>
      <c r="E204" s="16"/>
      <c r="F204" s="14"/>
      <c r="G204" s="14"/>
      <c r="H204" s="17"/>
    </row>
    <row r="205" spans="1:8" s="18" customFormat="1" x14ac:dyDescent="0.25">
      <c r="A205" s="14" t="s">
        <v>356</v>
      </c>
      <c r="B205" s="14" t="s">
        <v>356</v>
      </c>
      <c r="C205" s="15" t="s">
        <v>154</v>
      </c>
      <c r="D205" s="42" t="s">
        <v>162</v>
      </c>
      <c r="E205" s="16"/>
      <c r="F205" s="14"/>
      <c r="G205" s="14"/>
      <c r="H205" s="17"/>
    </row>
    <row r="206" spans="1:8" s="18" customFormat="1" x14ac:dyDescent="0.25">
      <c r="A206" s="14" t="s">
        <v>417</v>
      </c>
      <c r="B206" s="14" t="s">
        <v>417</v>
      </c>
      <c r="C206" s="15" t="s">
        <v>154</v>
      </c>
      <c r="D206" s="42" t="s">
        <v>162</v>
      </c>
      <c r="E206" s="16"/>
      <c r="F206" s="14"/>
      <c r="G206" s="14"/>
      <c r="H206" s="17"/>
    </row>
    <row r="207" spans="1:8" s="18" customFormat="1" x14ac:dyDescent="0.25">
      <c r="A207" s="14" t="s">
        <v>344</v>
      </c>
      <c r="B207" s="14" t="s">
        <v>344</v>
      </c>
      <c r="C207" s="15" t="s">
        <v>154</v>
      </c>
      <c r="D207" s="42" t="s">
        <v>162</v>
      </c>
      <c r="E207" s="16"/>
      <c r="F207" s="14"/>
      <c r="G207" s="14"/>
      <c r="H207" s="17"/>
    </row>
    <row r="208" spans="1:8" s="18" customFormat="1" x14ac:dyDescent="0.25">
      <c r="A208" s="14" t="s">
        <v>345</v>
      </c>
      <c r="B208" s="14" t="s">
        <v>345</v>
      </c>
      <c r="C208" s="15" t="s">
        <v>141</v>
      </c>
      <c r="D208" s="42" t="s">
        <v>269</v>
      </c>
      <c r="E208" s="16"/>
      <c r="F208" s="14"/>
      <c r="G208" s="14"/>
      <c r="H208" s="17"/>
    </row>
    <row r="209" spans="1:8" s="18" customFormat="1" x14ac:dyDescent="0.25">
      <c r="A209" s="14" t="s">
        <v>346</v>
      </c>
      <c r="B209" s="14" t="s">
        <v>220</v>
      </c>
      <c r="C209" s="15" t="s">
        <v>154</v>
      </c>
      <c r="D209" s="42" t="s">
        <v>162</v>
      </c>
      <c r="E209" s="16"/>
      <c r="F209" s="14"/>
      <c r="G209" s="14"/>
      <c r="H209" s="17"/>
    </row>
    <row r="210" spans="1:8" s="18" customFormat="1" x14ac:dyDescent="0.25">
      <c r="A210" s="14" t="s">
        <v>350</v>
      </c>
      <c r="B210" s="14" t="s">
        <v>350</v>
      </c>
      <c r="C210" s="15" t="s">
        <v>154</v>
      </c>
      <c r="D210" s="42" t="s">
        <v>162</v>
      </c>
      <c r="E210" s="16"/>
      <c r="F210" s="14"/>
      <c r="G210" s="14"/>
      <c r="H210" s="17"/>
    </row>
    <row r="211" spans="1:8" s="18" customFormat="1" x14ac:dyDescent="0.25">
      <c r="A211" s="14" t="s">
        <v>351</v>
      </c>
      <c r="B211" s="14" t="s">
        <v>352</v>
      </c>
      <c r="C211" s="15" t="s">
        <v>154</v>
      </c>
      <c r="D211" s="42" t="s">
        <v>162</v>
      </c>
      <c r="E211" s="16"/>
      <c r="F211" s="14"/>
      <c r="G211" s="14"/>
      <c r="H211" s="17"/>
    </row>
    <row r="212" spans="1:8" s="18" customFormat="1" x14ac:dyDescent="0.25">
      <c r="A212" s="14" t="s">
        <v>409</v>
      </c>
      <c r="B212" s="14" t="s">
        <v>409</v>
      </c>
      <c r="C212" s="15" t="s">
        <v>141</v>
      </c>
      <c r="D212" s="42" t="s">
        <v>395</v>
      </c>
      <c r="E212" s="16"/>
      <c r="F212" s="14"/>
      <c r="G212" s="14"/>
      <c r="H212" s="17"/>
    </row>
    <row r="213" spans="1:8" s="18" customFormat="1" x14ac:dyDescent="0.25">
      <c r="A213" s="14" t="s">
        <v>358</v>
      </c>
      <c r="B213" s="14" t="s">
        <v>358</v>
      </c>
      <c r="C213" s="15" t="s">
        <v>141</v>
      </c>
      <c r="D213" s="42" t="s">
        <v>357</v>
      </c>
      <c r="E213" s="16"/>
      <c r="F213" s="14"/>
      <c r="G213" s="14"/>
      <c r="H213" s="17"/>
    </row>
    <row r="214" spans="1:8" s="18" customFormat="1" x14ac:dyDescent="0.25">
      <c r="A214" s="14" t="s">
        <v>359</v>
      </c>
      <c r="B214" s="14" t="s">
        <v>359</v>
      </c>
      <c r="C214" s="15" t="s">
        <v>141</v>
      </c>
      <c r="D214" s="42" t="s">
        <v>357</v>
      </c>
      <c r="E214" s="16"/>
      <c r="F214" s="14"/>
      <c r="G214" s="14"/>
      <c r="H214" s="17"/>
    </row>
    <row r="215" spans="1:8" s="18" customFormat="1" x14ac:dyDescent="0.25">
      <c r="A215" s="14" t="s">
        <v>360</v>
      </c>
      <c r="B215" s="14" t="s">
        <v>410</v>
      </c>
      <c r="C215" s="15" t="s">
        <v>141</v>
      </c>
      <c r="D215" s="42" t="s">
        <v>385</v>
      </c>
      <c r="E215" s="16"/>
      <c r="F215" s="14"/>
      <c r="G215" s="14"/>
      <c r="H215" s="17"/>
    </row>
    <row r="216" spans="1:8" s="18" customFormat="1" x14ac:dyDescent="0.25">
      <c r="A216" s="14" t="s">
        <v>361</v>
      </c>
      <c r="B216" s="14" t="s">
        <v>411</v>
      </c>
      <c r="C216" s="15" t="s">
        <v>141</v>
      </c>
      <c r="D216" s="42" t="s">
        <v>387</v>
      </c>
      <c r="E216" s="16"/>
      <c r="F216" s="14"/>
      <c r="G216" s="14"/>
      <c r="H216" s="17"/>
    </row>
    <row r="217" spans="1:8" s="18" customFormat="1" x14ac:dyDescent="0.25">
      <c r="A217" s="14" t="s">
        <v>373</v>
      </c>
      <c r="B217" s="14" t="s">
        <v>373</v>
      </c>
      <c r="C217" s="15" t="s">
        <v>130</v>
      </c>
      <c r="D217" s="42" t="s">
        <v>378</v>
      </c>
      <c r="E217" s="16"/>
      <c r="F217" s="14"/>
      <c r="G217" s="14"/>
      <c r="H217" s="17"/>
    </row>
    <row r="218" spans="1:8" s="18" customFormat="1" x14ac:dyDescent="0.25">
      <c r="A218" s="14" t="s">
        <v>374</v>
      </c>
      <c r="B218" s="14" t="s">
        <v>278</v>
      </c>
      <c r="C218" s="15" t="s">
        <v>141</v>
      </c>
      <c r="D218" s="42" t="s">
        <v>279</v>
      </c>
      <c r="E218" s="16"/>
      <c r="F218" s="14"/>
      <c r="G218" s="14"/>
      <c r="H218" s="17"/>
    </row>
    <row r="219" spans="1:8" s="18" customFormat="1" x14ac:dyDescent="0.25">
      <c r="A219" s="14" t="s">
        <v>375</v>
      </c>
      <c r="B219" s="14" t="s">
        <v>379</v>
      </c>
      <c r="C219" s="15" t="s">
        <v>141</v>
      </c>
      <c r="D219" s="42" t="s">
        <v>279</v>
      </c>
      <c r="E219" s="16"/>
      <c r="F219" s="14"/>
      <c r="G219" s="14"/>
      <c r="H219" s="17"/>
    </row>
    <row r="220" spans="1:8" s="18" customFormat="1" x14ac:dyDescent="0.25">
      <c r="A220" s="14" t="s">
        <v>376</v>
      </c>
      <c r="B220" s="14" t="s">
        <v>380</v>
      </c>
      <c r="C220" s="15" t="s">
        <v>141</v>
      </c>
      <c r="D220" s="42" t="s">
        <v>279</v>
      </c>
      <c r="E220" s="16"/>
      <c r="F220" s="14"/>
      <c r="G220" s="14"/>
      <c r="H220" s="17"/>
    </row>
    <row r="221" spans="1:8" s="18" customFormat="1" x14ac:dyDescent="0.25">
      <c r="A221" s="14" t="s">
        <v>377</v>
      </c>
      <c r="B221" s="14" t="s">
        <v>377</v>
      </c>
      <c r="C221" s="15" t="s">
        <v>141</v>
      </c>
      <c r="D221" s="42" t="s">
        <v>381</v>
      </c>
      <c r="E221" s="16"/>
      <c r="F221" s="14"/>
      <c r="G221" s="14"/>
      <c r="H221" s="17"/>
    </row>
    <row r="222" spans="1:8" s="18" customFormat="1" x14ac:dyDescent="0.25">
      <c r="A222" s="14" t="s">
        <v>383</v>
      </c>
      <c r="B222" s="14" t="s">
        <v>412</v>
      </c>
      <c r="C222" s="15" t="s">
        <v>141</v>
      </c>
      <c r="D222" s="42" t="s">
        <v>387</v>
      </c>
      <c r="E222" s="16"/>
      <c r="F222" s="14"/>
      <c r="G222" s="14"/>
      <c r="H222" s="17"/>
    </row>
    <row r="223" spans="1:8" s="18" customFormat="1" x14ac:dyDescent="0.25">
      <c r="A223" s="14" t="s">
        <v>384</v>
      </c>
      <c r="B223" s="14" t="s">
        <v>413</v>
      </c>
      <c r="C223" s="15" t="s">
        <v>141</v>
      </c>
      <c r="D223" s="42" t="s">
        <v>385</v>
      </c>
      <c r="E223" s="16"/>
      <c r="F223" s="14"/>
      <c r="G223" s="14"/>
      <c r="H223" s="17"/>
    </row>
    <row r="224" spans="1:8" s="18" customFormat="1" x14ac:dyDescent="0.25">
      <c r="A224" s="14" t="s">
        <v>389</v>
      </c>
      <c r="B224" s="14" t="s">
        <v>389</v>
      </c>
      <c r="C224" s="15" t="s">
        <v>141</v>
      </c>
      <c r="D224" s="42" t="s">
        <v>387</v>
      </c>
      <c r="E224" s="16"/>
      <c r="F224" s="14"/>
      <c r="G224" s="14"/>
      <c r="H224" s="17"/>
    </row>
    <row r="225" spans="1:8" s="18" customFormat="1" x14ac:dyDescent="0.25">
      <c r="A225" s="14" t="s">
        <v>426</v>
      </c>
      <c r="B225" s="14" t="s">
        <v>425</v>
      </c>
      <c r="C225" s="15" t="s">
        <v>141</v>
      </c>
      <c r="D225" s="42" t="s">
        <v>387</v>
      </c>
      <c r="E225" s="16"/>
      <c r="F225" s="14"/>
      <c r="G225" s="14"/>
      <c r="H225" s="17"/>
    </row>
    <row r="226" spans="1:8" s="18" customFormat="1" x14ac:dyDescent="0.25">
      <c r="A226" s="14" t="s">
        <v>419</v>
      </c>
      <c r="B226" s="14" t="s">
        <v>419</v>
      </c>
      <c r="C226" s="15" t="s">
        <v>141</v>
      </c>
      <c r="D226" s="42" t="s">
        <v>234</v>
      </c>
      <c r="E226" s="16"/>
      <c r="F226" s="14"/>
      <c r="G226" s="14"/>
      <c r="H226" s="17"/>
    </row>
    <row r="227" spans="1:8" s="18" customFormat="1" x14ac:dyDescent="0.25">
      <c r="A227" s="14" t="s">
        <v>427</v>
      </c>
      <c r="B227" s="14" t="s">
        <v>398</v>
      </c>
      <c r="C227" s="15" t="s">
        <v>141</v>
      </c>
      <c r="D227" s="42" t="s">
        <v>395</v>
      </c>
      <c r="E227" s="16"/>
      <c r="F227" s="14"/>
      <c r="G227" s="14"/>
      <c r="H227" s="17"/>
    </row>
    <row r="228" spans="1:8" s="18" customFormat="1" x14ac:dyDescent="0.25">
      <c r="A228" s="14" t="s">
        <v>428</v>
      </c>
      <c r="B228" s="14" t="s">
        <v>418</v>
      </c>
      <c r="C228" s="15" t="s">
        <v>141</v>
      </c>
      <c r="D228" s="42" t="s">
        <v>395</v>
      </c>
      <c r="E228" s="16"/>
      <c r="F228" s="14"/>
      <c r="G228" s="14"/>
      <c r="H228" s="17"/>
    </row>
    <row r="229" spans="1:8" s="18" customFormat="1" x14ac:dyDescent="0.25">
      <c r="A229" s="14" t="s">
        <v>424</v>
      </c>
      <c r="B229" s="14" t="s">
        <v>432</v>
      </c>
      <c r="C229" s="15" t="s">
        <v>141</v>
      </c>
      <c r="D229" s="42" t="s">
        <v>387</v>
      </c>
      <c r="E229" s="16"/>
      <c r="F229" s="14"/>
      <c r="G229" s="14"/>
      <c r="H229" s="17"/>
    </row>
    <row r="230" spans="1:8" s="18" customFormat="1" x14ac:dyDescent="0.25">
      <c r="A230" s="14" t="s">
        <v>446</v>
      </c>
      <c r="B230" s="14" t="s">
        <v>456</v>
      </c>
      <c r="C230" s="15" t="s">
        <v>154</v>
      </c>
      <c r="D230" s="42" t="s">
        <v>162</v>
      </c>
      <c r="E230" s="16"/>
      <c r="F230" s="14"/>
      <c r="G230" s="14"/>
      <c r="H230" s="17"/>
    </row>
    <row r="231" spans="1:8" s="18" customFormat="1" x14ac:dyDescent="0.25">
      <c r="A231" s="14" t="s">
        <v>448</v>
      </c>
      <c r="B231" s="14" t="s">
        <v>457</v>
      </c>
      <c r="C231" s="15" t="s">
        <v>154</v>
      </c>
      <c r="D231" s="42" t="s">
        <v>162</v>
      </c>
      <c r="E231" s="16"/>
      <c r="F231" s="14"/>
      <c r="G231" s="14"/>
      <c r="H231" s="17"/>
    </row>
    <row r="232" spans="1:8" s="18" customFormat="1" x14ac:dyDescent="0.25">
      <c r="A232" s="14" t="s">
        <v>447</v>
      </c>
      <c r="B232" s="14" t="s">
        <v>458</v>
      </c>
      <c r="C232" s="15" t="s">
        <v>154</v>
      </c>
      <c r="D232" s="42" t="s">
        <v>162</v>
      </c>
      <c r="E232" s="16"/>
      <c r="F232" s="14"/>
      <c r="G232" s="14"/>
      <c r="H232" s="17"/>
    </row>
    <row r="233" spans="1:8" s="18" customFormat="1" x14ac:dyDescent="0.25">
      <c r="A233" s="14" t="s">
        <v>452</v>
      </c>
      <c r="B233" s="14" t="s">
        <v>459</v>
      </c>
      <c r="C233" s="15" t="s">
        <v>141</v>
      </c>
      <c r="D233" s="42" t="s">
        <v>385</v>
      </c>
      <c r="E233" s="16"/>
      <c r="F233" s="14"/>
      <c r="G233" s="14"/>
      <c r="H233" s="17"/>
    </row>
    <row r="234" spans="1:8" s="18" customFormat="1" x14ac:dyDescent="0.25">
      <c r="A234" s="14" t="s">
        <v>450</v>
      </c>
      <c r="B234" s="14" t="s">
        <v>460</v>
      </c>
      <c r="C234" s="15" t="s">
        <v>141</v>
      </c>
      <c r="D234" s="42" t="s">
        <v>385</v>
      </c>
      <c r="E234" s="16"/>
      <c r="F234" s="14"/>
      <c r="G234" s="14"/>
      <c r="H234" s="17"/>
    </row>
    <row r="235" spans="1:8" s="18" customFormat="1" x14ac:dyDescent="0.25">
      <c r="A235" s="14" t="s">
        <v>425</v>
      </c>
      <c r="B235" s="14" t="s">
        <v>425</v>
      </c>
      <c r="C235" s="15" t="s">
        <v>141</v>
      </c>
      <c r="D235" s="42" t="s">
        <v>387</v>
      </c>
      <c r="E235" s="16"/>
      <c r="F235" s="14"/>
      <c r="G235" s="14"/>
      <c r="H235" s="17"/>
    </row>
    <row r="236" spans="1:8" s="18" customFormat="1" x14ac:dyDescent="0.25">
      <c r="A236" s="14" t="s">
        <v>465</v>
      </c>
      <c r="B236" s="14" t="s">
        <v>465</v>
      </c>
      <c r="C236" s="15" t="s">
        <v>141</v>
      </c>
      <c r="D236" s="42" t="s">
        <v>387</v>
      </c>
      <c r="E236" s="16"/>
      <c r="F236" s="14"/>
      <c r="G236" s="14"/>
      <c r="H236" s="17"/>
    </row>
    <row r="237" spans="1:8" s="18" customFormat="1" x14ac:dyDescent="0.25">
      <c r="A237" s="14" t="s">
        <v>466</v>
      </c>
      <c r="B237" s="14" t="s">
        <v>470</v>
      </c>
      <c r="C237" s="15" t="s">
        <v>141</v>
      </c>
      <c r="D237" s="42" t="s">
        <v>387</v>
      </c>
      <c r="E237" s="16"/>
      <c r="F237" s="14"/>
      <c r="G237" s="14"/>
      <c r="H237" s="17"/>
    </row>
    <row r="238" spans="1:8" s="18" customFormat="1" x14ac:dyDescent="0.25">
      <c r="A238" s="14" t="s">
        <v>469</v>
      </c>
      <c r="B238" s="14" t="s">
        <v>471</v>
      </c>
      <c r="C238" s="15" t="s">
        <v>141</v>
      </c>
      <c r="D238" s="42" t="s">
        <v>385</v>
      </c>
      <c r="E238" s="16"/>
      <c r="F238" s="14"/>
      <c r="G238" s="14"/>
      <c r="H238" s="17"/>
    </row>
    <row r="239" spans="1:8" s="18" customFormat="1" x14ac:dyDescent="0.25">
      <c r="A239" s="14" t="s">
        <v>449</v>
      </c>
      <c r="B239" s="14" t="s">
        <v>472</v>
      </c>
      <c r="C239" s="15" t="s">
        <v>141</v>
      </c>
      <c r="D239" s="42" t="s">
        <v>385</v>
      </c>
      <c r="E239" s="16"/>
      <c r="F239" s="14"/>
      <c r="G239" s="14"/>
      <c r="H239" s="17"/>
    </row>
  </sheetData>
  <conditionalFormatting sqref="A4">
    <cfRule type="duplicateValues" dxfId="18" priority="54"/>
  </conditionalFormatting>
  <conditionalFormatting sqref="A240:A1048576 A1:A4">
    <cfRule type="duplicateValues" dxfId="17" priority="41"/>
  </conditionalFormatting>
  <conditionalFormatting sqref="A4">
    <cfRule type="duplicateValues" dxfId="16" priority="16"/>
  </conditionalFormatting>
  <conditionalFormatting sqref="A1:A4">
    <cfRule type="duplicateValues" dxfId="15" priority="15"/>
  </conditionalFormatting>
  <conditionalFormatting sqref="A5:A234">
    <cfRule type="duplicateValues" dxfId="14" priority="12"/>
  </conditionalFormatting>
  <conditionalFormatting sqref="A5:A234">
    <cfRule type="duplicateValues" dxfId="13" priority="11"/>
  </conditionalFormatting>
  <conditionalFormatting sqref="A5:A234">
    <cfRule type="duplicateValues" dxfId="12" priority="10"/>
  </conditionalFormatting>
  <conditionalFormatting sqref="A5:A234">
    <cfRule type="duplicateValues" dxfId="11" priority="9"/>
  </conditionalFormatting>
  <conditionalFormatting sqref="A235:A236">
    <cfRule type="duplicateValues" dxfId="10" priority="112"/>
  </conditionalFormatting>
  <conditionalFormatting sqref="A235:A236">
    <cfRule type="duplicateValues" dxfId="9" priority="114"/>
  </conditionalFormatting>
  <conditionalFormatting sqref="A237">
    <cfRule type="duplicateValues" dxfId="8" priority="3"/>
  </conditionalFormatting>
  <conditionalFormatting sqref="A237">
    <cfRule type="duplicateValues" dxfId="7" priority="4"/>
  </conditionalFormatting>
  <conditionalFormatting sqref="A238:A239">
    <cfRule type="duplicateValues" dxfId="6" priority="1"/>
  </conditionalFormatting>
  <conditionalFormatting sqref="A238:A239">
    <cfRule type="duplicateValues" dxfId="5" priority="2"/>
  </conditionalFormatting>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70C0"/>
  </sheetPr>
  <dimension ref="A1:Z28"/>
  <sheetViews>
    <sheetView showGridLines="0" tabSelected="1" view="pageBreakPreview" zoomScaleSheetLayoutView="100" workbookViewId="0">
      <pane xSplit="11" topLeftCell="R1" activePane="topRight" state="frozen"/>
      <selection pane="topRight" activeCell="X14" sqref="X14"/>
    </sheetView>
  </sheetViews>
  <sheetFormatPr defaultColWidth="9.140625" defaultRowHeight="15" x14ac:dyDescent="0.25"/>
  <cols>
    <col min="1" max="1" width="0.42578125" customWidth="1"/>
    <col min="2" max="2" width="4.140625" customWidth="1"/>
    <col min="3" max="3" width="14.7109375" customWidth="1"/>
    <col min="4" max="4" width="6.5703125" customWidth="1"/>
    <col min="5" max="5" width="11.42578125" style="35" customWidth="1"/>
    <col min="6" max="6" width="9.5703125" style="44" customWidth="1"/>
    <col min="7" max="7" width="26" customWidth="1"/>
    <col min="8" max="8" width="8" style="3" customWidth="1"/>
    <col min="9" max="9" width="8.85546875" customWidth="1"/>
    <col min="10" max="10" width="8.5703125" customWidth="1"/>
    <col min="11" max="11" width="0.28515625" customWidth="1"/>
    <col min="12" max="12" width="20.28515625" style="3" customWidth="1"/>
    <col min="13" max="13" width="13.85546875" style="3" customWidth="1"/>
    <col min="14" max="15" width="13.5703125" style="29" customWidth="1"/>
    <col min="16" max="16" width="13.140625" style="29" customWidth="1"/>
    <col min="17" max="17" width="14.7109375" style="29" customWidth="1"/>
    <col min="18" max="18" width="16.85546875" style="29" customWidth="1"/>
    <col min="19" max="19" width="19.5703125" style="29" customWidth="1"/>
    <col min="20" max="20" width="13.140625" style="29" customWidth="1"/>
    <col min="21" max="21" width="21.140625" customWidth="1"/>
    <col min="22" max="22" width="12.5703125" customWidth="1"/>
    <col min="23" max="23" width="15.7109375" customWidth="1"/>
    <col min="24" max="24" width="12.28515625" style="3" customWidth="1"/>
    <col min="25" max="25" width="10.7109375" customWidth="1"/>
    <col min="26" max="26" width="21" style="67" customWidth="1"/>
  </cols>
  <sheetData>
    <row r="1" spans="1:26" ht="5.25" customHeight="1" x14ac:dyDescent="0.25"/>
    <row r="2" spans="1:26" ht="110.25" customHeight="1" x14ac:dyDescent="0.25">
      <c r="A2" s="1"/>
      <c r="B2" s="19"/>
      <c r="C2" s="19"/>
      <c r="D2" s="74" t="s">
        <v>433</v>
      </c>
      <c r="E2" s="74"/>
      <c r="F2" s="74"/>
      <c r="G2" s="74"/>
      <c r="H2" s="74"/>
      <c r="I2" s="74"/>
      <c r="J2" s="74"/>
    </row>
    <row r="3" spans="1:26" s="3" customFormat="1" ht="38.25" customHeight="1" x14ac:dyDescent="0.25">
      <c r="A3" s="1"/>
      <c r="B3" s="89" t="s">
        <v>434</v>
      </c>
      <c r="C3" s="89"/>
      <c r="D3" s="89"/>
      <c r="E3" s="89"/>
      <c r="F3" s="89"/>
      <c r="G3" s="89"/>
      <c r="H3" s="89"/>
      <c r="I3" s="89"/>
      <c r="J3" s="89"/>
      <c r="N3" s="29"/>
      <c r="O3" s="29"/>
      <c r="P3" s="29"/>
      <c r="Q3" s="29"/>
      <c r="R3" s="29"/>
      <c r="S3" s="29"/>
      <c r="T3" s="29"/>
      <c r="Z3" s="67"/>
    </row>
    <row r="4" spans="1:26" s="1" customFormat="1" ht="32.25" customHeight="1" x14ac:dyDescent="0.25">
      <c r="B4" s="6"/>
      <c r="C4" s="6"/>
      <c r="D4" s="22"/>
      <c r="E4" s="36"/>
      <c r="F4" s="45" t="s">
        <v>438</v>
      </c>
      <c r="G4" s="23"/>
      <c r="H4" s="23"/>
      <c r="I4" s="24"/>
      <c r="J4" s="25"/>
      <c r="N4" s="30"/>
      <c r="O4" s="30"/>
      <c r="P4" s="30"/>
      <c r="Q4" s="30"/>
      <c r="R4" s="30"/>
      <c r="S4" s="30"/>
      <c r="T4" s="30"/>
      <c r="Z4" s="66"/>
    </row>
    <row r="5" spans="1:26" s="1" customFormat="1" ht="24.75" customHeight="1" x14ac:dyDescent="0.25">
      <c r="B5" s="7"/>
      <c r="C5" s="7"/>
      <c r="D5" s="26" t="s">
        <v>439</v>
      </c>
      <c r="E5" s="47"/>
      <c r="F5" s="47" t="s">
        <v>463</v>
      </c>
      <c r="G5" s="47"/>
      <c r="H5" s="27" t="s">
        <v>440</v>
      </c>
      <c r="I5" s="90"/>
      <c r="J5" s="91"/>
      <c r="K5" s="39"/>
      <c r="L5" s="39"/>
      <c r="M5" s="39"/>
      <c r="N5" s="30"/>
      <c r="O5" s="30"/>
      <c r="P5" s="30"/>
      <c r="Q5" s="30"/>
      <c r="R5" s="30"/>
      <c r="S5" s="30"/>
      <c r="T5" s="30"/>
      <c r="Z5" s="66"/>
    </row>
    <row r="6" spans="1:26" s="8" customFormat="1" ht="24.75" customHeight="1" x14ac:dyDescent="0.25">
      <c r="B6" s="7"/>
      <c r="C6" s="7"/>
      <c r="D6" s="75" t="s">
        <v>347</v>
      </c>
      <c r="E6" s="77"/>
      <c r="F6" s="78"/>
      <c r="G6" s="79"/>
      <c r="H6" s="27" t="s">
        <v>441</v>
      </c>
      <c r="I6" s="71"/>
      <c r="J6" s="72"/>
      <c r="N6" s="31"/>
      <c r="O6" s="31"/>
      <c r="P6" s="31"/>
      <c r="Q6" s="31"/>
      <c r="R6" s="31"/>
      <c r="S6" s="31"/>
      <c r="T6" s="31"/>
      <c r="Z6" s="66"/>
    </row>
    <row r="7" spans="1:26" s="8" customFormat="1" ht="24.75" customHeight="1" x14ac:dyDescent="0.25">
      <c r="B7" s="7"/>
      <c r="C7" s="7"/>
      <c r="D7" s="76"/>
      <c r="E7" s="80"/>
      <c r="F7" s="81"/>
      <c r="G7" s="82"/>
      <c r="H7" s="27" t="s">
        <v>442</v>
      </c>
      <c r="I7" s="71"/>
      <c r="J7" s="72"/>
      <c r="N7" s="31"/>
      <c r="O7" s="31"/>
      <c r="P7" s="31"/>
      <c r="Q7" s="31"/>
      <c r="R7" s="31"/>
      <c r="S7" s="31"/>
      <c r="T7" s="31"/>
      <c r="Z7" s="66"/>
    </row>
    <row r="8" spans="1:26" s="8" customFormat="1" ht="24.75" customHeight="1" x14ac:dyDescent="0.25">
      <c r="B8" s="7"/>
      <c r="C8" s="7"/>
      <c r="D8" s="28" t="s">
        <v>443</v>
      </c>
      <c r="E8" s="92"/>
      <c r="F8" s="92"/>
      <c r="G8" s="92"/>
      <c r="H8" s="27" t="s">
        <v>441</v>
      </c>
      <c r="I8" s="93"/>
      <c r="J8" s="93"/>
      <c r="N8" s="31"/>
      <c r="O8" s="31"/>
      <c r="P8" s="31"/>
      <c r="Q8" s="31"/>
      <c r="R8" s="31"/>
      <c r="S8" s="31"/>
      <c r="T8" s="31"/>
      <c r="Z8" s="66"/>
    </row>
    <row r="9" spans="1:26" s="8" customFormat="1" ht="24.75" customHeight="1" x14ac:dyDescent="0.25">
      <c r="B9" s="7"/>
      <c r="C9" s="7"/>
      <c r="D9" s="75" t="s">
        <v>348</v>
      </c>
      <c r="E9" s="77"/>
      <c r="F9" s="78"/>
      <c r="G9" s="79"/>
      <c r="H9" s="27" t="s">
        <v>441</v>
      </c>
      <c r="I9" s="71"/>
      <c r="J9" s="72"/>
      <c r="N9" s="31"/>
      <c r="O9" s="31"/>
      <c r="P9" s="31"/>
      <c r="Q9" s="31"/>
      <c r="R9" s="31"/>
      <c r="S9" s="31"/>
      <c r="T9" s="31"/>
      <c r="Z9" s="66"/>
    </row>
    <row r="10" spans="1:26" s="8" customFormat="1" ht="24.75" customHeight="1" x14ac:dyDescent="0.25">
      <c r="B10" s="7"/>
      <c r="C10" s="7"/>
      <c r="D10" s="76"/>
      <c r="E10" s="80"/>
      <c r="F10" s="81"/>
      <c r="G10" s="82"/>
      <c r="H10" s="27" t="s">
        <v>442</v>
      </c>
      <c r="I10" s="71"/>
      <c r="J10" s="72"/>
      <c r="N10" s="31"/>
      <c r="O10" s="31"/>
      <c r="P10" s="31"/>
      <c r="Q10" s="31"/>
      <c r="R10" s="31"/>
      <c r="S10" s="31"/>
      <c r="T10" s="31"/>
      <c r="Z10" s="66"/>
    </row>
    <row r="11" spans="1:26" s="8" customFormat="1" ht="24.75" customHeight="1" x14ac:dyDescent="0.25">
      <c r="B11" s="7"/>
      <c r="C11" s="7"/>
      <c r="D11" s="26" t="s">
        <v>444</v>
      </c>
      <c r="E11" s="85"/>
      <c r="F11" s="86"/>
      <c r="G11" s="86"/>
      <c r="H11" s="86"/>
      <c r="I11" s="86"/>
      <c r="J11" s="87"/>
      <c r="N11" s="31"/>
      <c r="O11" s="31"/>
      <c r="P11" s="31"/>
      <c r="Q11" s="31"/>
      <c r="R11" s="31"/>
      <c r="S11" s="31"/>
      <c r="T11" s="31"/>
      <c r="U11" s="31"/>
      <c r="V11" s="31"/>
      <c r="W11" s="31"/>
      <c r="X11" s="31"/>
      <c r="Y11" s="31"/>
      <c r="Z11" s="66"/>
    </row>
    <row r="12" spans="1:26" s="5" customFormat="1" ht="18.75" customHeight="1" x14ac:dyDescent="0.25">
      <c r="A12" s="9"/>
      <c r="B12" s="88"/>
      <c r="C12" s="88"/>
      <c r="D12" s="88"/>
      <c r="E12" s="88"/>
      <c r="F12" s="88"/>
      <c r="G12" s="88"/>
      <c r="H12" s="88"/>
      <c r="I12" s="88"/>
      <c r="J12" s="88"/>
      <c r="N12" s="32"/>
      <c r="O12" s="32"/>
      <c r="P12" s="32"/>
      <c r="Q12" s="32"/>
      <c r="R12" s="32"/>
      <c r="S12" s="32"/>
      <c r="T12" s="32"/>
      <c r="U12" s="32"/>
      <c r="V12" s="32"/>
      <c r="W12" s="32"/>
      <c r="X12" s="32"/>
      <c r="Y12" s="32"/>
      <c r="Z12" s="68"/>
    </row>
    <row r="13" spans="1:26" s="4" customFormat="1" ht="45" customHeight="1" x14ac:dyDescent="0.2">
      <c r="B13" s="20" t="s">
        <v>421</v>
      </c>
      <c r="C13" s="73" t="s">
        <v>451</v>
      </c>
      <c r="D13" s="73"/>
      <c r="E13" s="37" t="s">
        <v>423</v>
      </c>
      <c r="F13" s="46" t="s">
        <v>435</v>
      </c>
      <c r="G13" s="73" t="s">
        <v>436</v>
      </c>
      <c r="H13" s="73"/>
      <c r="I13" s="20" t="s">
        <v>437</v>
      </c>
      <c r="J13" s="20" t="s">
        <v>464</v>
      </c>
      <c r="K13" s="58"/>
      <c r="L13" s="48" t="s">
        <v>466</v>
      </c>
      <c r="M13" s="33" t="s">
        <v>468</v>
      </c>
      <c r="N13" s="33" t="s">
        <v>445</v>
      </c>
      <c r="O13" s="33" t="s">
        <v>197</v>
      </c>
      <c r="P13" s="33" t="s">
        <v>198</v>
      </c>
      <c r="Q13" s="33" t="s">
        <v>429</v>
      </c>
      <c r="R13" s="33" t="s">
        <v>467</v>
      </c>
      <c r="S13" s="33" t="s">
        <v>446</v>
      </c>
      <c r="T13" s="33" t="s">
        <v>448</v>
      </c>
      <c r="U13" s="48" t="s">
        <v>447</v>
      </c>
      <c r="V13" s="48" t="s">
        <v>452</v>
      </c>
      <c r="W13" s="48" t="s">
        <v>450</v>
      </c>
      <c r="X13" s="48" t="s">
        <v>469</v>
      </c>
      <c r="Y13" s="48" t="s">
        <v>449</v>
      </c>
      <c r="Z13" s="48" t="s">
        <v>473</v>
      </c>
    </row>
    <row r="14" spans="1:26" s="57" customFormat="1" ht="45" customHeight="1" x14ac:dyDescent="0.2">
      <c r="B14" s="21"/>
      <c r="C14" s="69"/>
      <c r="D14" s="70"/>
      <c r="E14" s="59"/>
      <c r="F14" s="60"/>
      <c r="G14" s="83"/>
      <c r="H14" s="84"/>
      <c r="I14" s="21"/>
      <c r="J14" s="21"/>
      <c r="K14" s="58"/>
      <c r="L14" s="63"/>
      <c r="M14" s="61"/>
      <c r="N14" s="61"/>
      <c r="O14" s="64"/>
      <c r="P14" s="61"/>
      <c r="Q14" s="61"/>
      <c r="R14" s="64"/>
      <c r="S14" s="34"/>
      <c r="T14" s="61"/>
      <c r="U14" s="34"/>
      <c r="V14" s="34"/>
      <c r="W14" s="34"/>
      <c r="X14" s="62"/>
      <c r="Y14" s="62"/>
      <c r="Z14" s="34"/>
    </row>
    <row r="15" spans="1:26" s="57" customFormat="1" ht="45" customHeight="1" x14ac:dyDescent="0.25">
      <c r="B15" s="51"/>
      <c r="C15"/>
      <c r="D15"/>
      <c r="E15"/>
      <c r="F15" s="52"/>
      <c r="G15" s="53"/>
      <c r="H15" s="53"/>
      <c r="I15" s="51"/>
      <c r="J15" s="51"/>
      <c r="L15" s="54"/>
      <c r="M15" s="54"/>
      <c r="N15" s="54"/>
      <c r="O15" s="54"/>
      <c r="P15" s="54"/>
      <c r="Q15" s="54"/>
      <c r="R15" s="54"/>
      <c r="S15" s="54"/>
      <c r="T15" s="54"/>
      <c r="U15" s="55"/>
      <c r="V15" s="55"/>
      <c r="W15" s="55"/>
      <c r="X15" s="55"/>
      <c r="Y15" s="55"/>
      <c r="Z15" s="55"/>
    </row>
    <row r="16" spans="1:26" s="57" customFormat="1" ht="45" customHeight="1" x14ac:dyDescent="0.25">
      <c r="B16" s="51"/>
      <c r="C16"/>
      <c r="D16"/>
      <c r="E16"/>
      <c r="F16" s="52"/>
      <c r="G16" s="53"/>
      <c r="H16" s="53"/>
      <c r="I16" s="51"/>
      <c r="J16" s="51"/>
      <c r="L16" s="54"/>
      <c r="M16" s="54"/>
      <c r="N16" s="54"/>
      <c r="O16" s="54"/>
      <c r="P16" s="54"/>
      <c r="Q16" s="54"/>
      <c r="R16" s="54"/>
      <c r="S16" s="54"/>
      <c r="T16" s="54"/>
      <c r="U16" s="55"/>
      <c r="V16" s="55"/>
      <c r="W16" s="55"/>
      <c r="X16" s="55"/>
      <c r="Y16" s="55"/>
      <c r="Z16" s="55"/>
    </row>
    <row r="17" spans="2:26" s="57" customFormat="1" ht="45" customHeight="1" x14ac:dyDescent="0.25">
      <c r="B17" s="51"/>
      <c r="C17"/>
      <c r="D17"/>
      <c r="E17"/>
      <c r="F17" s="52"/>
      <c r="G17" s="53"/>
      <c r="H17" s="53"/>
      <c r="I17" s="51"/>
      <c r="J17" s="51"/>
      <c r="L17" s="54"/>
      <c r="M17" s="54"/>
      <c r="N17" s="54"/>
      <c r="O17" s="54"/>
      <c r="P17" s="54"/>
      <c r="Q17" s="54"/>
      <c r="R17" s="54"/>
      <c r="S17" s="54"/>
      <c r="T17" s="54"/>
      <c r="U17" s="55"/>
      <c r="V17" s="55"/>
      <c r="W17" s="55"/>
      <c r="X17" s="55"/>
      <c r="Y17" s="55"/>
      <c r="Z17" s="55"/>
    </row>
    <row r="18" spans="2:26" s="57" customFormat="1" ht="45" customHeight="1" x14ac:dyDescent="0.25">
      <c r="B18" s="51"/>
      <c r="C18"/>
      <c r="D18"/>
      <c r="E18"/>
      <c r="F18" s="52"/>
      <c r="G18" s="53"/>
      <c r="H18" s="53"/>
      <c r="I18" s="51"/>
      <c r="J18" s="51"/>
      <c r="L18" s="54"/>
      <c r="M18" s="54"/>
      <c r="N18" s="54"/>
      <c r="O18" s="54"/>
      <c r="P18" s="54"/>
      <c r="Q18" s="54"/>
      <c r="R18" s="54"/>
      <c r="S18" s="54"/>
      <c r="T18" s="54"/>
      <c r="U18" s="55"/>
      <c r="V18" s="55"/>
      <c r="W18" s="55"/>
      <c r="X18" s="55"/>
      <c r="Y18" s="55"/>
      <c r="Z18" s="55"/>
    </row>
    <row r="19" spans="2:26" s="57" customFormat="1" ht="45" customHeight="1" x14ac:dyDescent="0.25">
      <c r="B19" s="51"/>
      <c r="C19"/>
      <c r="D19"/>
      <c r="E19"/>
      <c r="F19" s="52"/>
      <c r="G19" s="53"/>
      <c r="H19" s="53"/>
      <c r="I19" s="51"/>
      <c r="J19" s="51"/>
      <c r="L19" s="54"/>
      <c r="M19" s="54"/>
      <c r="N19" s="54"/>
      <c r="O19" s="54"/>
      <c r="P19" s="54"/>
      <c r="Q19" s="54"/>
      <c r="R19" s="54"/>
      <c r="S19" s="54"/>
      <c r="T19" s="54"/>
      <c r="U19" s="55"/>
      <c r="V19" s="55"/>
      <c r="W19" s="55"/>
      <c r="X19" s="55"/>
      <c r="Y19" s="55"/>
      <c r="Z19" s="55"/>
    </row>
    <row r="20" spans="2:26" s="57" customFormat="1" ht="45" customHeight="1" x14ac:dyDescent="0.25">
      <c r="B20" s="51"/>
      <c r="C20"/>
      <c r="D20"/>
      <c r="E20"/>
      <c r="F20" s="52"/>
      <c r="G20" s="53"/>
      <c r="H20" s="53"/>
      <c r="I20" s="51"/>
      <c r="J20" s="51"/>
      <c r="L20" s="54"/>
      <c r="M20" s="54"/>
      <c r="N20" s="54"/>
      <c r="O20" s="54"/>
      <c r="P20" s="54"/>
      <c r="Q20" s="54"/>
      <c r="R20" s="54"/>
      <c r="S20" s="54"/>
      <c r="T20" s="54"/>
      <c r="U20" s="55"/>
      <c r="V20" s="55"/>
      <c r="W20" s="55"/>
      <c r="X20" s="55"/>
      <c r="Y20" s="55"/>
      <c r="Z20" s="55"/>
    </row>
    <row r="21" spans="2:26" s="57" customFormat="1" ht="45" customHeight="1" x14ac:dyDescent="0.25">
      <c r="B21" s="51"/>
      <c r="C21"/>
      <c r="D21"/>
      <c r="E21"/>
      <c r="F21" s="52"/>
      <c r="G21" s="53"/>
      <c r="H21" s="53"/>
      <c r="I21" s="51"/>
      <c r="J21" s="51"/>
      <c r="L21" s="54"/>
      <c r="M21" s="54"/>
      <c r="N21" s="54"/>
      <c r="O21" s="54"/>
      <c r="P21" s="54"/>
      <c r="Q21" s="54"/>
      <c r="R21" s="54"/>
      <c r="S21" s="54"/>
      <c r="T21" s="54"/>
      <c r="U21" s="55"/>
      <c r="V21" s="55"/>
      <c r="W21" s="55"/>
      <c r="X21" s="55"/>
      <c r="Y21" s="55"/>
      <c r="Z21" s="55"/>
    </row>
    <row r="22" spans="2:26" s="57" customFormat="1" ht="45" customHeight="1" x14ac:dyDescent="0.25">
      <c r="B22" s="51"/>
      <c r="C22"/>
      <c r="D22"/>
      <c r="E22"/>
      <c r="F22" s="52"/>
      <c r="G22" s="53"/>
      <c r="H22" s="53"/>
      <c r="I22" s="51"/>
      <c r="J22" s="51"/>
      <c r="L22" s="54"/>
      <c r="M22" s="54"/>
      <c r="N22" s="54"/>
      <c r="O22" s="54"/>
      <c r="P22" s="54"/>
      <c r="Q22" s="54"/>
      <c r="R22" s="54"/>
      <c r="S22" s="54"/>
      <c r="T22" s="54"/>
      <c r="U22" s="55"/>
      <c r="V22" s="55"/>
      <c r="W22" s="55"/>
      <c r="X22" s="55"/>
      <c r="Y22" s="55"/>
      <c r="Z22" s="55"/>
    </row>
    <row r="23" spans="2:26" s="57" customFormat="1" ht="45" customHeight="1" x14ac:dyDescent="0.25">
      <c r="B23" s="51"/>
      <c r="C23"/>
      <c r="D23"/>
      <c r="E23"/>
      <c r="F23" s="52"/>
      <c r="G23" s="53"/>
      <c r="H23" s="53"/>
      <c r="I23" s="51"/>
      <c r="J23" s="51"/>
      <c r="L23" s="54"/>
      <c r="M23" s="54"/>
      <c r="N23" s="54"/>
      <c r="O23" s="54"/>
      <c r="P23" s="54"/>
      <c r="Q23" s="54"/>
      <c r="R23" s="54"/>
      <c r="S23" s="54"/>
      <c r="T23" s="54"/>
      <c r="U23" s="55"/>
      <c r="V23" s="55"/>
      <c r="W23" s="55"/>
      <c r="X23" s="55"/>
      <c r="Y23" s="55"/>
      <c r="Z23" s="55"/>
    </row>
    <row r="24" spans="2:26" s="57" customFormat="1" ht="45" customHeight="1" x14ac:dyDescent="0.25">
      <c r="B24" s="51"/>
      <c r="C24"/>
      <c r="D24"/>
      <c r="E24"/>
      <c r="F24" s="52"/>
      <c r="G24" s="53"/>
      <c r="H24" s="53"/>
      <c r="I24" s="51"/>
      <c r="J24" s="51"/>
      <c r="L24" s="54"/>
      <c r="M24" s="54"/>
      <c r="N24" s="54"/>
      <c r="O24" s="54"/>
      <c r="P24" s="54"/>
      <c r="Q24" s="54"/>
      <c r="R24" s="54"/>
      <c r="S24" s="54"/>
      <c r="T24" s="54"/>
      <c r="U24" s="55"/>
      <c r="V24" s="55"/>
      <c r="W24" s="55"/>
      <c r="X24" s="55"/>
      <c r="Y24" s="55"/>
      <c r="Z24" s="55"/>
    </row>
    <row r="25" spans="2:26" s="57" customFormat="1" ht="45" customHeight="1" x14ac:dyDescent="0.25">
      <c r="B25" s="51"/>
      <c r="C25"/>
      <c r="D25"/>
      <c r="E25"/>
      <c r="F25" s="52"/>
      <c r="G25" s="53"/>
      <c r="H25" s="53"/>
      <c r="I25" s="51"/>
      <c r="J25" s="51"/>
      <c r="L25" s="54"/>
      <c r="M25" s="54"/>
      <c r="N25" s="54"/>
      <c r="O25" s="54"/>
      <c r="P25" s="54"/>
      <c r="Q25" s="54"/>
      <c r="R25" s="54"/>
      <c r="S25" s="54"/>
      <c r="T25" s="54"/>
      <c r="U25" s="55"/>
      <c r="V25" s="55"/>
      <c r="W25" s="55"/>
      <c r="X25" s="55"/>
      <c r="Y25" s="55"/>
      <c r="Z25" s="55"/>
    </row>
    <row r="26" spans="2:26" s="57" customFormat="1" ht="45" customHeight="1" x14ac:dyDescent="0.25">
      <c r="B26" s="51"/>
      <c r="C26"/>
      <c r="D26"/>
      <c r="E26"/>
      <c r="F26" s="52"/>
      <c r="G26" s="53"/>
      <c r="H26" s="53"/>
      <c r="I26" s="51"/>
      <c r="J26" s="51"/>
      <c r="L26" s="54"/>
      <c r="M26" s="54"/>
      <c r="N26" s="54"/>
      <c r="O26" s="54"/>
      <c r="P26" s="54"/>
      <c r="Q26" s="54"/>
      <c r="R26" s="54"/>
      <c r="S26" s="54"/>
      <c r="T26" s="54"/>
      <c r="U26" s="55"/>
      <c r="V26" s="55"/>
      <c r="W26" s="55"/>
      <c r="X26" s="55"/>
      <c r="Y26" s="55"/>
      <c r="Z26" s="55"/>
    </row>
    <row r="27" spans="2:26" s="57" customFormat="1" ht="45" customHeight="1" x14ac:dyDescent="0.25">
      <c r="B27" s="51"/>
      <c r="C27"/>
      <c r="D27"/>
      <c r="E27"/>
      <c r="F27" s="52"/>
      <c r="G27" s="53"/>
      <c r="H27" s="53"/>
      <c r="I27" s="51"/>
      <c r="J27" s="51"/>
      <c r="L27" s="54"/>
      <c r="M27" s="54"/>
      <c r="N27" s="54"/>
      <c r="O27" s="54"/>
      <c r="P27" s="54"/>
      <c r="Q27" s="54"/>
      <c r="R27" s="54"/>
      <c r="S27" s="54"/>
      <c r="T27" s="54"/>
      <c r="U27" s="55"/>
      <c r="V27" s="55"/>
      <c r="W27" s="55"/>
      <c r="X27" s="55"/>
      <c r="Y27" s="55"/>
      <c r="Z27" s="55"/>
    </row>
    <row r="28" spans="2:26" s="57" customFormat="1" ht="45" customHeight="1" x14ac:dyDescent="0.25">
      <c r="B28" s="51"/>
      <c r="C28"/>
      <c r="D28"/>
      <c r="E28"/>
      <c r="F28" s="52"/>
      <c r="G28" s="53"/>
      <c r="H28" s="53"/>
      <c r="I28" s="51"/>
      <c r="J28" s="51"/>
      <c r="L28" s="54"/>
      <c r="M28" s="54"/>
      <c r="N28" s="54"/>
      <c r="O28" s="54"/>
      <c r="P28" s="54"/>
      <c r="Q28" s="54"/>
      <c r="R28" s="54"/>
      <c r="S28" s="54"/>
      <c r="T28" s="54"/>
      <c r="U28" s="55"/>
      <c r="V28" s="55"/>
      <c r="W28" s="55"/>
      <c r="X28" s="55"/>
      <c r="Y28" s="55"/>
      <c r="Z28" s="55"/>
    </row>
  </sheetData>
  <sortState ref="C14:C29">
    <sortCondition ref="C14:C29"/>
  </sortState>
  <mergeCells count="19">
    <mergeCell ref="D9:D10"/>
    <mergeCell ref="E9:G10"/>
    <mergeCell ref="I9:J9"/>
    <mergeCell ref="C14:D14"/>
    <mergeCell ref="I10:J10"/>
    <mergeCell ref="C13:D13"/>
    <mergeCell ref="D2:J2"/>
    <mergeCell ref="I7:J7"/>
    <mergeCell ref="D6:D7"/>
    <mergeCell ref="E6:G7"/>
    <mergeCell ref="G14:H14"/>
    <mergeCell ref="E11:J11"/>
    <mergeCell ref="B12:J12"/>
    <mergeCell ref="G13:H13"/>
    <mergeCell ref="B3:J3"/>
    <mergeCell ref="I5:J5"/>
    <mergeCell ref="I6:J6"/>
    <mergeCell ref="E8:G8"/>
    <mergeCell ref="I8:J8"/>
  </mergeCells>
  <conditionalFormatting sqref="C29:C1048576 C1:C10">
    <cfRule type="duplicateValues" dxfId="4" priority="118"/>
  </conditionalFormatting>
  <conditionalFormatting sqref="C11:C14">
    <cfRule type="duplicateValues" dxfId="3" priority="122"/>
  </conditionalFormatting>
  <conditionalFormatting sqref="C15:D1048576 C1:D13 C14">
    <cfRule type="duplicateValues" dxfId="2" priority="3"/>
  </conditionalFormatting>
  <pageMargins left="0.25" right="0.25" top="0.75" bottom="0.75" header="0.3" footer="0.3"/>
  <pageSetup paperSize="9" orientation="portrait" horizontalDpi="300" verticalDpi="300" r:id="rId1"/>
  <drawing r:id="rId2"/>
  <legacyDrawing r:id="rId3"/>
  <controls>
    <mc:AlternateContent xmlns:mc="http://schemas.openxmlformats.org/markup-compatibility/2006">
      <mc:Choice Requires="x14">
        <control shapeId="4097" r:id="rId4" name="cb_ExportLoadFile">
          <controlPr defaultSize="0" autoLine="0" r:id="rId5">
            <anchor moveWithCells="1">
              <from>
                <xdr:col>11</xdr:col>
                <xdr:colOff>85725</xdr:colOff>
                <xdr:row>2</xdr:row>
                <xdr:rowOff>28575</xdr:rowOff>
              </from>
              <to>
                <xdr:col>11</xdr:col>
                <xdr:colOff>1200150</xdr:colOff>
                <xdr:row>2</xdr:row>
                <xdr:rowOff>457200</xdr:rowOff>
              </to>
            </anchor>
          </controlPr>
        </control>
      </mc:Choice>
      <mc:Fallback>
        <control shapeId="4097" r:id="rId4" name="cb_ExportLoadFile"/>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B1:C4"/>
  <sheetViews>
    <sheetView showGridLines="0" view="pageBreakPreview" topLeftCell="A4" zoomScaleSheetLayoutView="100" workbookViewId="0">
      <selection activeCell="C7" sqref="C7"/>
    </sheetView>
  </sheetViews>
  <sheetFormatPr defaultColWidth="9.140625" defaultRowHeight="15" x14ac:dyDescent="0.25"/>
  <cols>
    <col min="1" max="1" width="0.7109375" style="50" customWidth="1"/>
    <col min="2" max="2" width="34.7109375" style="50" customWidth="1"/>
    <col min="3" max="3" width="43.7109375" style="50" customWidth="1"/>
    <col min="4" max="4" width="1" style="50" customWidth="1"/>
    <col min="5" max="16384" width="9.140625" style="50"/>
  </cols>
  <sheetData>
    <row r="1" spans="2:3" customFormat="1" ht="102" customHeight="1" x14ac:dyDescent="0.25">
      <c r="B1" s="94" t="s">
        <v>455</v>
      </c>
      <c r="C1" s="94"/>
    </row>
    <row r="2" spans="2:3" s="3" customFormat="1" ht="10.5" customHeight="1" x14ac:dyDescent="0.25">
      <c r="B2" s="38"/>
      <c r="C2" s="38"/>
    </row>
    <row r="3" spans="2:3" customFormat="1" ht="25.5" customHeight="1" x14ac:dyDescent="0.25">
      <c r="B3" s="49" t="s">
        <v>451</v>
      </c>
      <c r="C3" s="49" t="s">
        <v>422</v>
      </c>
    </row>
    <row r="4" spans="2:3" ht="22.5" customHeight="1" x14ac:dyDescent="0.25">
      <c r="B4" s="56"/>
      <c r="C4" s="56"/>
    </row>
  </sheetData>
  <sortState ref="B4:C35">
    <sortCondition ref="B4:B35"/>
  </sortState>
  <mergeCells count="1">
    <mergeCell ref="B1:C1"/>
  </mergeCells>
  <conditionalFormatting sqref="C1:C1048576">
    <cfRule type="duplicateValues" dxfId="1" priority="3"/>
  </conditionalFormatting>
  <conditionalFormatting sqref="C1:C1048540">
    <cfRule type="duplicateValues" dxfId="0" priority="123"/>
  </conditionalFormatting>
  <pageMargins left="0.7" right="0.7" top="0.75" bottom="0.75" header="0.3" footer="0.3"/>
  <pageSetup paperSize="9" orientation="portrait" horizontalDpi="200" verticalDpi="200" r:id="rId1"/>
  <drawing r:id="rId2"/>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Document (MASTER)</vt:lpstr>
      <vt:lpstr>Document (REV)</vt:lpstr>
      <vt:lpstr>Document (VER)</vt:lpstr>
      <vt:lpstr>Document (FILE)</vt:lpstr>
      <vt:lpstr>Incoming XMTL</vt:lpstr>
      <vt:lpstr>Incoming XMTL Section</vt:lpstr>
      <vt:lpstr>Mapping</vt:lpstr>
      <vt:lpstr>Transmittal Form</vt:lpstr>
      <vt:lpstr>File List</vt:lpstr>
      <vt:lpstr>AllBoolean</vt:lpstr>
      <vt:lpstr>AllFormats</vt:lpstr>
      <vt:lpstr>AllScopes</vt:lpstr>
      <vt:lpstr>AllSolutions</vt:lpstr>
      <vt:lpstr>'File List'!Print_Area</vt:lpstr>
      <vt:lpstr>'Transmittal Form'!Print_Area</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Lee Kim Loong</dc:creator>
  <cp:keywords/>
  <dc:description/>
  <cp:lastModifiedBy>RnDDept</cp:lastModifiedBy>
  <cp:lastPrinted>2016-05-28T06:24:06Z</cp:lastPrinted>
  <dcterms:created xsi:type="dcterms:W3CDTF">2009-02-26T17:27:37Z</dcterms:created>
  <dcterms:modified xsi:type="dcterms:W3CDTF">2017-07-25T04:21:25Z</dcterms:modified>
  <cp:category/>
  <cp:contentStatus/>
</cp:coreProperties>
</file>